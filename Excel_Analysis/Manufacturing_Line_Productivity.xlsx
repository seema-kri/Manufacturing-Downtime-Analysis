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8692590cf0392b3/Attachments/Desktop/portfolio/Downtime Analysis/Excel_Analysis/"/>
    </mc:Choice>
  </mc:AlternateContent>
  <xr:revisionPtr revIDLastSave="0" documentId="13_ncr:1_{4841AC83-BD64-4B31-AFB2-EF91B51DC9BB}" xr6:coauthVersionLast="47" xr6:coauthVersionMax="47" xr10:uidLastSave="{00000000-0000-0000-0000-000000000000}"/>
  <bookViews>
    <workbookView xWindow="-108" yWindow="-108" windowWidth="23256" windowHeight="12456" xr2:uid="{8FF62ED8-A67E-423F-8325-F23DB684777C}"/>
  </bookViews>
  <sheets>
    <sheet name="Summary" sheetId="9" r:id="rId1"/>
    <sheet name="Line productivity" sheetId="1" r:id="rId2"/>
    <sheet name="Products" sheetId="8" r:id="rId3"/>
    <sheet name="Downtime factors" sheetId="3" r:id="rId4"/>
    <sheet name="Line downtime" sheetId="2" r:id="rId5"/>
  </sheets>
  <definedNames>
    <definedName name="_xlnm._FilterDatabase" localSheetId="3" hidden="1">'Downtime factors'!$A$1:$C$13</definedName>
    <definedName name="_xlnm._FilterDatabase" localSheetId="1" hidden="1">'Line productivity'!$H$1:$H$39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1" i="9" l="1"/>
  <c r="J22" i="9"/>
  <c r="J23" i="9"/>
  <c r="J20" i="9"/>
  <c r="G21" i="9"/>
  <c r="G22" i="9"/>
  <c r="G23" i="9"/>
  <c r="F21" i="9"/>
  <c r="F22" i="9"/>
  <c r="F23" i="9"/>
  <c r="E21" i="9"/>
  <c r="E22" i="9"/>
  <c r="E23" i="9"/>
  <c r="D21" i="9"/>
  <c r="D22" i="9"/>
  <c r="D23" i="9"/>
  <c r="D20" i="9"/>
  <c r="C21" i="9"/>
  <c r="C22" i="9"/>
  <c r="C23" i="9"/>
  <c r="C20" i="9"/>
  <c r="E20" i="9"/>
  <c r="F20" i="9"/>
  <c r="B20" i="9"/>
  <c r="B21" i="9"/>
  <c r="B22" i="9"/>
  <c r="B23" i="9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3" i="2"/>
  <c r="C7" i="9"/>
  <c r="C12" i="9"/>
  <c r="C6" i="9"/>
  <c r="C10" i="9"/>
  <c r="C4" i="9"/>
  <c r="C5" i="9"/>
  <c r="C8" i="9"/>
  <c r="C14" i="9"/>
  <c r="C11" i="9"/>
  <c r="D11" i="9" s="1"/>
  <c r="C13" i="9"/>
  <c r="C9" i="9"/>
  <c r="D9" i="9" s="1"/>
  <c r="C15" i="9"/>
  <c r="B7" i="9"/>
  <c r="B12" i="9"/>
  <c r="B6" i="9"/>
  <c r="B10" i="9"/>
  <c r="B4" i="9"/>
  <c r="B5" i="9"/>
  <c r="B8" i="9"/>
  <c r="B14" i="9"/>
  <c r="B11" i="9"/>
  <c r="B13" i="9"/>
  <c r="B9" i="9"/>
  <c r="B15" i="9"/>
  <c r="B1" i="9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3" i="2"/>
  <c r="H3" i="1"/>
  <c r="J3" i="1" s="1"/>
  <c r="H4" i="1"/>
  <c r="J4" i="1" s="1"/>
  <c r="H5" i="1"/>
  <c r="J5" i="1" s="1"/>
  <c r="H6" i="1"/>
  <c r="J6" i="1" s="1"/>
  <c r="H7" i="1"/>
  <c r="J7" i="1" s="1"/>
  <c r="H8" i="1"/>
  <c r="J8" i="1" s="1"/>
  <c r="H9" i="1"/>
  <c r="J9" i="1" s="1"/>
  <c r="H10" i="1"/>
  <c r="J10" i="1" s="1"/>
  <c r="H11" i="1"/>
  <c r="J11" i="1" s="1"/>
  <c r="H12" i="1"/>
  <c r="J12" i="1" s="1"/>
  <c r="H13" i="1"/>
  <c r="J13" i="1" s="1"/>
  <c r="H14" i="1"/>
  <c r="J14" i="1" s="1"/>
  <c r="H15" i="1"/>
  <c r="J15" i="1" s="1"/>
  <c r="H16" i="1"/>
  <c r="J16" i="1" s="1"/>
  <c r="H17" i="1"/>
  <c r="J17" i="1" s="1"/>
  <c r="H18" i="1"/>
  <c r="J18" i="1" s="1"/>
  <c r="H19" i="1"/>
  <c r="J19" i="1" s="1"/>
  <c r="H20" i="1"/>
  <c r="J20" i="1" s="1"/>
  <c r="H21" i="1"/>
  <c r="J21" i="1" s="1"/>
  <c r="H22" i="1"/>
  <c r="J22" i="1" s="1"/>
  <c r="H23" i="1"/>
  <c r="J23" i="1" s="1"/>
  <c r="H24" i="1"/>
  <c r="J24" i="1" s="1"/>
  <c r="H25" i="1"/>
  <c r="J25" i="1" s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2" i="1"/>
  <c r="J2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J26" i="1" s="1"/>
  <c r="G27" i="1"/>
  <c r="J27" i="1" s="1"/>
  <c r="G28" i="1"/>
  <c r="J28" i="1" s="1"/>
  <c r="G29" i="1"/>
  <c r="J29" i="1" s="1"/>
  <c r="G30" i="1"/>
  <c r="J30" i="1" s="1"/>
  <c r="G31" i="1"/>
  <c r="J31" i="1" s="1"/>
  <c r="G32" i="1"/>
  <c r="J32" i="1" s="1"/>
  <c r="G33" i="1"/>
  <c r="J33" i="1" s="1"/>
  <c r="G34" i="1"/>
  <c r="J34" i="1" s="1"/>
  <c r="G35" i="1"/>
  <c r="J35" i="1" s="1"/>
  <c r="G36" i="1"/>
  <c r="J36" i="1" s="1"/>
  <c r="G37" i="1"/>
  <c r="J37" i="1" s="1"/>
  <c r="G38" i="1"/>
  <c r="J38" i="1" s="1"/>
  <c r="G39" i="1"/>
  <c r="J39" i="1" s="1"/>
  <c r="G2" i="1"/>
  <c r="G20" i="9" l="1"/>
  <c r="D5" i="9"/>
  <c r="D8" i="9"/>
  <c r="D13" i="9"/>
  <c r="D6" i="9"/>
  <c r="D10" i="9"/>
  <c r="D4" i="9"/>
  <c r="D7" i="9"/>
  <c r="D15" i="9"/>
  <c r="D12" i="9"/>
  <c r="D14" i="9"/>
  <c r="E15" i="9"/>
  <c r="E14" i="9"/>
  <c r="E13" i="9"/>
  <c r="E12" i="9"/>
  <c r="E11" i="9"/>
  <c r="E10" i="9"/>
  <c r="E9" i="9"/>
  <c r="E8" i="9"/>
  <c r="E7" i="9"/>
  <c r="E5" i="9"/>
  <c r="E4" i="9"/>
  <c r="E6" i="9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<sst xmlns="http://schemas.openxmlformats.org/spreadsheetml/2006/main" count="159" uniqueCount="54">
  <si>
    <t>Date</t>
  </si>
  <si>
    <t>Product</t>
  </si>
  <si>
    <t>Batch</t>
  </si>
  <si>
    <t>Operator</t>
  </si>
  <si>
    <t>Start Time</t>
  </si>
  <si>
    <t>End Time</t>
  </si>
  <si>
    <t>Factor</t>
  </si>
  <si>
    <t>Operator Error</t>
  </si>
  <si>
    <t>Batch change</t>
  </si>
  <si>
    <t>Machine adjustment</t>
  </si>
  <si>
    <t>Product spill</t>
  </si>
  <si>
    <t>Label switch</t>
  </si>
  <si>
    <t>Machine failure</t>
  </si>
  <si>
    <t>Batch coding error</t>
  </si>
  <si>
    <t>Inventory shortage</t>
  </si>
  <si>
    <t>Conveyor belt jam</t>
  </si>
  <si>
    <t>Other</t>
  </si>
  <si>
    <t>Emergency stop</t>
  </si>
  <si>
    <t>Calibration error</t>
  </si>
  <si>
    <t>Labeling error</t>
  </si>
  <si>
    <t>No</t>
  </si>
  <si>
    <t>Yes</t>
  </si>
  <si>
    <t>Description</t>
  </si>
  <si>
    <t>Downtime factor</t>
  </si>
  <si>
    <t>OR-600</t>
  </si>
  <si>
    <t>LE-600</t>
  </si>
  <si>
    <t>CO-600</t>
  </si>
  <si>
    <t>DC-600</t>
  </si>
  <si>
    <t>RB-600</t>
  </si>
  <si>
    <t>CO-2L</t>
  </si>
  <si>
    <t>Flavor</t>
  </si>
  <si>
    <t>Size</t>
  </si>
  <si>
    <t>Orange</t>
  </si>
  <si>
    <t>Lemon lime</t>
  </si>
  <si>
    <t>Cola</t>
  </si>
  <si>
    <t>Diet Cola</t>
  </si>
  <si>
    <t>Root Beer</t>
  </si>
  <si>
    <t>2 L</t>
  </si>
  <si>
    <t>600 ml</t>
  </si>
  <si>
    <t>Min batch time</t>
  </si>
  <si>
    <t>Charlie</t>
  </si>
  <si>
    <t>Dee</t>
  </si>
  <si>
    <t>Dennis</t>
  </si>
  <si>
    <t>Mac</t>
  </si>
  <si>
    <t>Batch time</t>
  </si>
  <si>
    <t>Total downtime</t>
  </si>
  <si>
    <t>Check</t>
  </si>
  <si>
    <t>Efficiency</t>
  </si>
  <si>
    <t>Overall line efficiency</t>
  </si>
  <si>
    <t>Total downtime (min)</t>
  </si>
  <si>
    <t>% of total</t>
  </si>
  <si>
    <t>Cumulative %</t>
  </si>
  <si>
    <t>Downtime (min) by operator and factor</t>
  </si>
  <si>
    <t>Total (top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</si>
</sst>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0" fontId="1" fillId="2" borderId="0" xfId="0" applyFont="1" applyFill="1"/>
    <xf numFmtId="21" fontId="0" fillId="0" borderId="0" xfId="0" applyNumberFormat="1"/>
    <xf numFmtId="1" fontId="0" fillId="0" borderId="0" xfId="0" applyNumberFormat="1"/>
    <xf numFmtId="0" fontId="0" fillId="3" borderId="0" xfId="0" applyFill="1"/>
    <xf numFmtId="1" fontId="0" fillId="3" borderId="0" xfId="0" applyNumberFormat="1" applyFill="1"/>
    <xf numFmtId="0" fontId="1" fillId="3" borderId="0" xfId="0" applyFont="1" applyFill="1"/>
    <xf numFmtId="0" fontId="1" fillId="0" borderId="0" xfId="0" applyFont="1"/>
    <xf numFmtId="9" fontId="0" fillId="0" borderId="0" xfId="1" applyFont="1"/>
    <xf numFmtId="0" fontId="4" fillId="0" borderId="0" xfId="0" applyFont="1"/>
    <xf numFmtId="0" fontId="1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8">
    <dxf>
      <numFmt numFmtId="0" formatCode="General"/>
    </dxf>
    <dxf>
      <numFmt numFmtId="1" formatCode="0"/>
    </dxf>
    <dxf>
      <numFmt numFmtId="0" formatCode="General"/>
    </dxf>
    <dxf>
      <numFmt numFmtId="1" formatCode="0"/>
    </dxf>
    <dxf>
      <numFmt numFmtId="26" formatCode="hh:mm:ss"/>
    </dxf>
    <dxf>
      <numFmt numFmtId="26" formatCode="hh:mm:ss"/>
    </dxf>
    <dxf>
      <numFmt numFmtId="164" formatCode="yyyy\-mm\-dd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23/09/relationships/Python" Target="pyth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 b="0" i="0" u="none" strike="noStrike" baseline="0"/>
              <a:t>Top 5 factors cause 80% of downtime</a:t>
            </a:r>
            <a:endParaRPr lang="en-IN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Summary!$C$3</c:f>
              <c:strCache>
                <c:ptCount val="1"/>
                <c:pt idx="0">
                  <c:v>Total downtime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47B-4984-AED8-CC889D46E934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47B-4984-AED8-CC889D46E934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47B-4984-AED8-CC889D46E934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47B-4984-AED8-CC889D46E934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47B-4984-AED8-CC889D46E934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47B-4984-AED8-CC889D46E934}"/>
              </c:ext>
            </c:extLst>
          </c:dPt>
          <c:cat>
            <c:strRef>
              <c:f>Summary!$B$4:$B$15</c:f>
              <c:strCache>
                <c:ptCount val="12"/>
                <c:pt idx="0">
                  <c:v>Machine adjustment</c:v>
                </c:pt>
                <c:pt idx="1">
                  <c:v>Machine failure</c:v>
                </c:pt>
                <c:pt idx="2">
                  <c:v>Inventory shortage</c:v>
                </c:pt>
                <c:pt idx="3">
                  <c:v>Batch change</c:v>
                </c:pt>
                <c:pt idx="4">
                  <c:v>Batch coding error</c:v>
                </c:pt>
                <c:pt idx="5">
                  <c:v>Other</c:v>
                </c:pt>
                <c:pt idx="6">
                  <c:v>Product spill</c:v>
                </c:pt>
                <c:pt idx="7">
                  <c:v>Calibration error</c:v>
                </c:pt>
                <c:pt idx="8">
                  <c:v>Labeling error</c:v>
                </c:pt>
                <c:pt idx="9">
                  <c:v>Label switch</c:v>
                </c:pt>
                <c:pt idx="10">
                  <c:v>Conveyor belt jam</c:v>
                </c:pt>
                <c:pt idx="11">
                  <c:v>Emergency stop</c:v>
                </c:pt>
              </c:strCache>
            </c:strRef>
          </c:cat>
          <c:val>
            <c:numRef>
              <c:f>Summary!$C$4:$C$15</c:f>
              <c:numCache>
                <c:formatCode>General</c:formatCode>
                <c:ptCount val="12"/>
                <c:pt idx="0">
                  <c:v>332</c:v>
                </c:pt>
                <c:pt idx="1">
                  <c:v>254</c:v>
                </c:pt>
                <c:pt idx="2">
                  <c:v>225</c:v>
                </c:pt>
                <c:pt idx="3">
                  <c:v>160</c:v>
                </c:pt>
                <c:pt idx="4">
                  <c:v>145</c:v>
                </c:pt>
                <c:pt idx="5">
                  <c:v>74</c:v>
                </c:pt>
                <c:pt idx="6">
                  <c:v>57</c:v>
                </c:pt>
                <c:pt idx="7">
                  <c:v>49</c:v>
                </c:pt>
                <c:pt idx="8">
                  <c:v>42</c:v>
                </c:pt>
                <c:pt idx="9">
                  <c:v>33</c:v>
                </c:pt>
                <c:pt idx="10">
                  <c:v>17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7B-4984-AED8-CC889D46E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048041840"/>
        <c:axId val="1258362960"/>
      </c:barChart>
      <c:lineChart>
        <c:grouping val="standard"/>
        <c:varyColors val="0"/>
        <c:ser>
          <c:idx val="1"/>
          <c:order val="1"/>
          <c:tx>
            <c:strRef>
              <c:f>Summary!$E$3</c:f>
              <c:strCache>
                <c:ptCount val="1"/>
                <c:pt idx="0">
                  <c:v>Cumulative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Summary!$B$4:$B$15</c:f>
              <c:strCache>
                <c:ptCount val="12"/>
                <c:pt idx="0">
                  <c:v>Machine adjustment</c:v>
                </c:pt>
                <c:pt idx="1">
                  <c:v>Machine failure</c:v>
                </c:pt>
                <c:pt idx="2">
                  <c:v>Inventory shortage</c:v>
                </c:pt>
                <c:pt idx="3">
                  <c:v>Batch change</c:v>
                </c:pt>
                <c:pt idx="4">
                  <c:v>Batch coding error</c:v>
                </c:pt>
                <c:pt idx="5">
                  <c:v>Other</c:v>
                </c:pt>
                <c:pt idx="6">
                  <c:v>Product spill</c:v>
                </c:pt>
                <c:pt idx="7">
                  <c:v>Calibration error</c:v>
                </c:pt>
                <c:pt idx="8">
                  <c:v>Labeling error</c:v>
                </c:pt>
                <c:pt idx="9">
                  <c:v>Label switch</c:v>
                </c:pt>
                <c:pt idx="10">
                  <c:v>Conveyor belt jam</c:v>
                </c:pt>
                <c:pt idx="11">
                  <c:v>Emergency stop</c:v>
                </c:pt>
              </c:strCache>
            </c:strRef>
          </c:cat>
          <c:val>
            <c:numRef>
              <c:f>Summary!$E$4:$E$15</c:f>
              <c:numCache>
                <c:formatCode>0%</c:formatCode>
                <c:ptCount val="12"/>
                <c:pt idx="0">
                  <c:v>0.23919308357348704</c:v>
                </c:pt>
                <c:pt idx="1">
                  <c:v>0.4221902017291066</c:v>
                </c:pt>
                <c:pt idx="2">
                  <c:v>0.58429394812680113</c:v>
                </c:pt>
                <c:pt idx="3">
                  <c:v>0.69956772334293948</c:v>
                </c:pt>
                <c:pt idx="4">
                  <c:v>0.80403458213256485</c:v>
                </c:pt>
                <c:pt idx="5">
                  <c:v>0.85734870317002887</c:v>
                </c:pt>
                <c:pt idx="6">
                  <c:v>0.89841498559077815</c:v>
                </c:pt>
                <c:pt idx="7">
                  <c:v>0.93371757925072052</c:v>
                </c:pt>
                <c:pt idx="8">
                  <c:v>0.96397694524495681</c:v>
                </c:pt>
                <c:pt idx="9">
                  <c:v>0.98775216138328537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7B-4984-AED8-CC889D46E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8042304"/>
        <c:axId val="1258361040"/>
      </c:lineChart>
      <c:catAx>
        <c:axId val="104804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362960"/>
        <c:crosses val="autoZero"/>
        <c:auto val="1"/>
        <c:lblAlgn val="ctr"/>
        <c:lblOffset val="100"/>
        <c:noMultiLvlLbl val="0"/>
      </c:catAx>
      <c:valAx>
        <c:axId val="125836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041840"/>
        <c:crosses val="autoZero"/>
        <c:crossBetween val="between"/>
      </c:valAx>
      <c:valAx>
        <c:axId val="1258361040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042304"/>
        <c:crosses val="max"/>
        <c:crossBetween val="between"/>
      </c:valAx>
      <c:catAx>
        <c:axId val="10480423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583610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 b="0" i="0" u="none" strike="noStrike" baseline="0"/>
              <a:t>Overall line efficiency is 64%. Mac is lowest at 61%</a:t>
            </a:r>
            <a:endParaRPr lang="en-IN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DE0-4239-A2F9-B547553166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Summary!$I$20:$I$23</c:f>
              <c:strCache>
                <c:ptCount val="4"/>
                <c:pt idx="0">
                  <c:v>Charlie</c:v>
                </c:pt>
                <c:pt idx="1">
                  <c:v>Dee</c:v>
                </c:pt>
                <c:pt idx="2">
                  <c:v>Dennis</c:v>
                </c:pt>
                <c:pt idx="3">
                  <c:v>Mac</c:v>
                </c:pt>
              </c:strCache>
            </c:strRef>
          </c:cat>
          <c:val>
            <c:numRef>
              <c:f>Summary!$J$20:$J$23</c:f>
              <c:numCache>
                <c:formatCode>0%</c:formatCode>
                <c:ptCount val="4"/>
                <c:pt idx="0">
                  <c:v>0.66839378238341973</c:v>
                </c:pt>
                <c:pt idx="1">
                  <c:v>0.64077669902912626</c:v>
                </c:pt>
                <c:pt idx="2">
                  <c:v>0.63170731707317074</c:v>
                </c:pt>
                <c:pt idx="3">
                  <c:v>0.60941176470588243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E0-4239-A2F9-B54755316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385222704"/>
        <c:axId val="1258366800"/>
      </c:barChart>
      <c:catAx>
        <c:axId val="13852227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366800"/>
        <c:crosses val="autoZero"/>
        <c:auto val="1"/>
        <c:lblAlgn val="ctr"/>
        <c:lblOffset val="100"/>
        <c:noMultiLvlLbl val="0"/>
      </c:catAx>
      <c:valAx>
        <c:axId val="1258366800"/>
        <c:scaling>
          <c:orientation val="minMax"/>
          <c:max val="1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3852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1</xdr:row>
      <xdr:rowOff>87631</xdr:rowOff>
    </xdr:from>
    <xdr:to>
      <xdr:col>14</xdr:col>
      <xdr:colOff>497306</xdr:colOff>
      <xdr:row>15</xdr:row>
      <xdr:rowOff>128338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B3017E-7D99-CF8F-894B-FC3F01843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68580</xdr:colOff>
      <xdr:row>17</xdr:row>
      <xdr:rowOff>48126</xdr:rowOff>
    </xdr:from>
    <xdr:to>
      <xdr:col>15</xdr:col>
      <xdr:colOff>419100</xdr:colOff>
      <xdr:row>26</xdr:row>
      <xdr:rowOff>176463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C514FE-AAE2-012B-C373-2691CAC52E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695B6A-C5D5-48A6-81FA-A88551094DD5}" name="tblProductivity" displayName="tblProductivity" ref="A1:K39" totalsRowShown="0" headerRowDxfId="7">
  <autoFilter ref="A1:K39" xr:uid="{E9695B6A-C5D5-48A6-81FA-A88551094DD5}"/>
  <tableColumns count="11">
    <tableColumn id="1" xr3:uid="{03435956-FCC0-4D72-B3CF-D1EDABE5E860}" name="Date" dataDxfId="6"/>
    <tableColumn id="2" xr3:uid="{4BD97F78-0E87-493B-986A-6742546F4FCF}" name="Product"/>
    <tableColumn id="3" xr3:uid="{3B90834C-D00C-4CD9-BF13-86D7235E19AE}" name="Batch"/>
    <tableColumn id="4" xr3:uid="{50942E7E-F708-4354-9FC6-A3C2B4816630}" name="Operator"/>
    <tableColumn id="5" xr3:uid="{E402FBA6-AE84-49D9-938F-22C3BBB418DC}" name="Start Time" dataDxfId="5"/>
    <tableColumn id="6" xr3:uid="{8AC8EA9C-C6FE-4635-A8C5-1B1F5C3E783F}" name="End Time" dataDxfId="4"/>
    <tableColumn id="7" xr3:uid="{871C59E2-37ED-4224-8263-E55416ABF5D9}" name="Min batch time">
      <calculatedColumnFormula>INDEX(Products!$D:$D, MATCH(B2, Products!$A:$A, 0))</calculatedColumnFormula>
    </tableColumn>
    <tableColumn id="8" xr3:uid="{3CD9DAA6-E72D-41B3-BAA1-21E8F92D42A6}" name="Batch time" dataDxfId="3">
      <calculatedColumnFormula>MOD(F2-E2,1)*1440</calculatedColumnFormula>
    </tableColumn>
    <tableColumn id="9" xr3:uid="{2F26CDBB-A88F-494F-AE1E-BBC7A8F99F5C}" name="Total downtime" dataDxfId="2">
      <calculatedColumnFormula>INDEX('Line downtime'!$N$3:$N$40, MATCH(C2,'Line downtime'!$A$3:$A$40,0))</calculatedColumnFormula>
    </tableColumn>
    <tableColumn id="10" xr3:uid="{E2AFCB41-AE1F-4646-9D08-650702AE8274}" name="Check" dataDxfId="1">
      <calculatedColumnFormula>H2-G2-I2</calculatedColumnFormula>
    </tableColumn>
    <tableColumn id="11" xr3:uid="{DC14A640-A3F9-4E2D-8FF3-8EDAF110BF4B}" name="Efficiency" dataDxfId="0">
      <calculatedColumnFormula>G2/H2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27F51-C5C2-4BC9-B177-83901C2B8B90}">
  <dimension ref="A1:J23"/>
  <sheetViews>
    <sheetView tabSelected="1" zoomScale="85" zoomScaleNormal="95" workbookViewId="0">
      <selection activeCell="S20" sqref="S20"/>
    </sheetView>
  </sheetViews>
  <sheetFormatPr defaultRowHeight="14.4" x14ac:dyDescent="0.3"/>
  <cols>
    <col min="1" max="1" width="18.21875" bestFit="1" customWidth="1"/>
    <col min="2" max="2" width="17.44140625" bestFit="1" customWidth="1"/>
    <col min="3" max="3" width="17.77734375" bestFit="1" customWidth="1"/>
    <col min="5" max="5" width="12" bestFit="1" customWidth="1"/>
  </cols>
  <sheetData>
    <row r="1" spans="1:5" x14ac:dyDescent="0.3">
      <c r="A1" s="8" t="s">
        <v>48</v>
      </c>
      <c r="B1" s="9">
        <f>SUM('Line productivity'!G2:G39)/SUM('Line productivity'!H2:H39)</f>
        <v>0.64022809745982379</v>
      </c>
    </row>
    <row r="3" spans="1:5" x14ac:dyDescent="0.3">
      <c r="A3" s="8" t="s">
        <v>6</v>
      </c>
      <c r="B3" s="8" t="s">
        <v>22</v>
      </c>
      <c r="C3" s="8" t="s">
        <v>49</v>
      </c>
      <c r="D3" s="8" t="s">
        <v>50</v>
      </c>
      <c r="E3" s="8" t="s">
        <v>51</v>
      </c>
    </row>
    <row r="4" spans="1:5" x14ac:dyDescent="0.3">
      <c r="A4">
        <v>6</v>
      </c>
      <c r="B4" t="str">
        <f>INDEX('Downtime factors'!$B$2:$B$13, MATCH(A4,'Downtime factors'!$A$2:$A$13,0))</f>
        <v>Machine adjustment</v>
      </c>
      <c r="C4">
        <f>SUM(INDEX('Line downtime'!$B$3:$M$40,0,MATCH(A4,'Line downtime'!$B$2:$M$2,0)))</f>
        <v>332</v>
      </c>
      <c r="D4" s="9">
        <f>C4/SUM($C$4:$C$15)</f>
        <v>0.23919308357348704</v>
      </c>
      <c r="E4" s="9">
        <f>SUM($D$4:D4)</f>
        <v>0.23919308357348704</v>
      </c>
    </row>
    <row r="5" spans="1:5" x14ac:dyDescent="0.3">
      <c r="A5">
        <v>7</v>
      </c>
      <c r="B5" t="str">
        <f>INDEX('Downtime factors'!$B$2:$B$13, MATCH(A5,'Downtime factors'!$A$2:$A$13,0))</f>
        <v>Machine failure</v>
      </c>
      <c r="C5">
        <f>SUM(INDEX('Line downtime'!$B$3:$M$40,0,MATCH(A5,'Line downtime'!$B$2:$M$2,0)))</f>
        <v>254</v>
      </c>
      <c r="D5" s="9">
        <f t="shared" ref="D5:D15" si="0">C5/SUM($C$4:$C$15)</f>
        <v>0.18299711815561959</v>
      </c>
      <c r="E5" s="9">
        <f>SUM($D$4:D5)</f>
        <v>0.4221902017291066</v>
      </c>
    </row>
    <row r="6" spans="1:5" x14ac:dyDescent="0.3">
      <c r="A6">
        <v>4</v>
      </c>
      <c r="B6" t="str">
        <f>INDEX('Downtime factors'!$B$2:$B$13, MATCH(A6,'Downtime factors'!$A$2:$A$13,0))</f>
        <v>Inventory shortage</v>
      </c>
      <c r="C6">
        <f>SUM(INDEX('Line downtime'!$B$3:$M$40,0,MATCH(A6,'Line downtime'!$B$2:$M$2,0)))</f>
        <v>225</v>
      </c>
      <c r="D6" s="9">
        <f t="shared" si="0"/>
        <v>0.16210374639769454</v>
      </c>
      <c r="E6" s="9">
        <f>SUM($D$4:D6)</f>
        <v>0.58429394812680113</v>
      </c>
    </row>
    <row r="7" spans="1:5" x14ac:dyDescent="0.3">
      <c r="A7">
        <v>2</v>
      </c>
      <c r="B7" t="str">
        <f>INDEX('Downtime factors'!$B$2:$B$13, MATCH(A7,'Downtime factors'!$A$2:$A$13,0))</f>
        <v>Batch change</v>
      </c>
      <c r="C7">
        <f>SUM(INDEX('Line downtime'!$B$3:$M$40,0,MATCH(A7,'Line downtime'!$B$2:$M$2,0)))</f>
        <v>160</v>
      </c>
      <c r="D7" s="9">
        <f t="shared" si="0"/>
        <v>0.11527377521613832</v>
      </c>
      <c r="E7" s="9">
        <f>SUM($D$4:D7)</f>
        <v>0.69956772334293948</v>
      </c>
    </row>
    <row r="8" spans="1:5" x14ac:dyDescent="0.3">
      <c r="A8">
        <v>8</v>
      </c>
      <c r="B8" t="str">
        <f>INDEX('Downtime factors'!$B$2:$B$13, MATCH(A8,'Downtime factors'!$A$2:$A$13,0))</f>
        <v>Batch coding error</v>
      </c>
      <c r="C8">
        <f>SUM(INDEX('Line downtime'!$B$3:$M$40,0,MATCH(A8,'Line downtime'!$B$2:$M$2,0)))</f>
        <v>145</v>
      </c>
      <c r="D8" s="9">
        <f t="shared" si="0"/>
        <v>0.10446685878962536</v>
      </c>
      <c r="E8" s="9">
        <f>SUM($D$4:D8)</f>
        <v>0.80403458213256485</v>
      </c>
    </row>
    <row r="9" spans="1:5" x14ac:dyDescent="0.3">
      <c r="A9">
        <v>12</v>
      </c>
      <c r="B9" t="str">
        <f>INDEX('Downtime factors'!$B$2:$B$13, MATCH(A9,'Downtime factors'!$A$2:$A$13,0))</f>
        <v>Other</v>
      </c>
      <c r="C9">
        <f>SUM(INDEX('Line downtime'!$B$3:$M$40,0,MATCH(A9,'Line downtime'!$B$2:$M$2,0)))</f>
        <v>74</v>
      </c>
      <c r="D9" s="9">
        <f t="shared" si="0"/>
        <v>5.3314121037463975E-2</v>
      </c>
      <c r="E9" s="9">
        <f>SUM($D$4:D9)</f>
        <v>0.85734870317002887</v>
      </c>
    </row>
    <row r="10" spans="1:5" x14ac:dyDescent="0.3">
      <c r="A10">
        <v>5</v>
      </c>
      <c r="B10" t="str">
        <f>INDEX('Downtime factors'!$B$2:$B$13, MATCH(A10,'Downtime factors'!$A$2:$A$13,0))</f>
        <v>Product spill</v>
      </c>
      <c r="C10">
        <f>SUM(INDEX('Line downtime'!$B$3:$M$40,0,MATCH(A10,'Line downtime'!$B$2:$M$2,0)))</f>
        <v>57</v>
      </c>
      <c r="D10" s="9">
        <f t="shared" si="0"/>
        <v>4.1066282420749278E-2</v>
      </c>
      <c r="E10" s="9">
        <f>SUM($D$4:D10)</f>
        <v>0.89841498559077815</v>
      </c>
    </row>
    <row r="11" spans="1:5" x14ac:dyDescent="0.3">
      <c r="A11">
        <v>10</v>
      </c>
      <c r="B11" t="str">
        <f>INDEX('Downtime factors'!$B$2:$B$13, MATCH(A11,'Downtime factors'!$A$2:$A$13,0))</f>
        <v>Calibration error</v>
      </c>
      <c r="C11">
        <f>SUM(INDEX('Line downtime'!$B$3:$M$40,0,MATCH(A11,'Line downtime'!$B$2:$M$2,0)))</f>
        <v>49</v>
      </c>
      <c r="D11" s="9">
        <f t="shared" si="0"/>
        <v>3.5302593659942365E-2</v>
      </c>
      <c r="E11" s="9">
        <f>SUM($D$4:D11)</f>
        <v>0.93371757925072052</v>
      </c>
    </row>
    <row r="12" spans="1:5" x14ac:dyDescent="0.3">
      <c r="A12">
        <v>3</v>
      </c>
      <c r="B12" t="str">
        <f>INDEX('Downtime factors'!$B$2:$B$13, MATCH(A12,'Downtime factors'!$A$2:$A$13,0))</f>
        <v>Labeling error</v>
      </c>
      <c r="C12">
        <f>SUM(INDEX('Line downtime'!$B$3:$M$40,0,MATCH(A12,'Line downtime'!$B$2:$M$2,0)))</f>
        <v>42</v>
      </c>
      <c r="D12" s="9">
        <f t="shared" si="0"/>
        <v>3.0259365994236311E-2</v>
      </c>
      <c r="E12" s="9">
        <f>SUM($D$4:D12)</f>
        <v>0.96397694524495681</v>
      </c>
    </row>
    <row r="13" spans="1:5" x14ac:dyDescent="0.3">
      <c r="A13">
        <v>11</v>
      </c>
      <c r="B13" t="str">
        <f>INDEX('Downtime factors'!$B$2:$B$13, MATCH(A13,'Downtime factors'!$A$2:$A$13,0))</f>
        <v>Label switch</v>
      </c>
      <c r="C13">
        <f>SUM(INDEX('Line downtime'!$B$3:$M$40,0,MATCH(A13,'Line downtime'!$B$2:$M$2,0)))</f>
        <v>33</v>
      </c>
      <c r="D13" s="9">
        <f t="shared" si="0"/>
        <v>2.3775216138328531E-2</v>
      </c>
      <c r="E13" s="9">
        <f>SUM($D$4:D13)</f>
        <v>0.98775216138328537</v>
      </c>
    </row>
    <row r="14" spans="1:5" x14ac:dyDescent="0.3">
      <c r="A14">
        <v>9</v>
      </c>
      <c r="B14" t="str">
        <f>INDEX('Downtime factors'!$B$2:$B$13, MATCH(A14,'Downtime factors'!$A$2:$A$13,0))</f>
        <v>Conveyor belt jam</v>
      </c>
      <c r="C14">
        <f>SUM(INDEX('Line downtime'!$B$3:$M$40,0,MATCH(A14,'Line downtime'!$B$2:$M$2,0)))</f>
        <v>17</v>
      </c>
      <c r="D14" s="9">
        <f t="shared" si="0"/>
        <v>1.2247838616714697E-2</v>
      </c>
      <c r="E14" s="9">
        <f>SUM($D$4:D14)</f>
        <v>1</v>
      </c>
    </row>
    <row r="15" spans="1:5" x14ac:dyDescent="0.3">
      <c r="A15">
        <v>1</v>
      </c>
      <c r="B15" t="str">
        <f>INDEX('Downtime factors'!$B$2:$B$13, MATCH(A15,'Downtime factors'!$A$2:$A$13,0))</f>
        <v>Emergency stop</v>
      </c>
      <c r="C15">
        <f>SUM(INDEX('Line downtime'!$B$3:$M$40,0,MATCH(A15,'Line downtime'!$B$2:$M$2,0)))</f>
        <v>0</v>
      </c>
      <c r="D15" s="9">
        <f t="shared" si="0"/>
        <v>0</v>
      </c>
      <c r="E15" s="9">
        <f>SUM($D$4:D15)</f>
        <v>1</v>
      </c>
    </row>
    <row r="18" spans="1:10" x14ac:dyDescent="0.3">
      <c r="A18" s="8" t="s">
        <v>52</v>
      </c>
      <c r="B18" s="8"/>
    </row>
    <row r="19" spans="1:10" x14ac:dyDescent="0.3">
      <c r="A19" s="8" t="s">
        <v>3</v>
      </c>
      <c r="B19" s="8">
        <v>6</v>
      </c>
      <c r="C19" s="8">
        <v>7</v>
      </c>
      <c r="D19" s="8">
        <v>4</v>
      </c>
      <c r="E19" s="8">
        <v>2</v>
      </c>
      <c r="F19" s="8">
        <v>8</v>
      </c>
      <c r="G19" s="8" t="s">
        <v>53</v>
      </c>
      <c r="I19" t="s">
        <v>3</v>
      </c>
      <c r="J19" t="s">
        <v>47</v>
      </c>
    </row>
    <row r="20" spans="1:10" ht="15" x14ac:dyDescent="0.35">
      <c r="A20" s="8" t="s">
        <v>40</v>
      </c>
      <c r="B20">
        <f>SUMIFS(INDEX('Line downtime'!$B$3:$M$40,0,MATCH(B$19,'Line downtime'!$B$2:$M$2,0)),'Line downtime'!$O$3:$O$40,$A20)</f>
        <v>118</v>
      </c>
      <c r="C20">
        <f>SUMIFS(INDEX('Line downtime'!$B$3:$M$40,0,MATCH(C$19,'Line downtime'!$B$2:$M$2,0)),'Line downtime'!$O$3:$O$40,$A20)</f>
        <v>85</v>
      </c>
      <c r="D20">
        <f>SUMIFS(INDEX('Line downtime'!$B$3:$M$40,0,MATCH(D$19,'Line downtime'!$B$2:$M$2,0)),'Line downtime'!$O$3:$O$40,$A20)</f>
        <v>17</v>
      </c>
      <c r="E20">
        <f>SUMIFS(INDEX('Line downtime'!$B$3:$M$40,0,MATCH(E$19,'Line downtime'!$B$2:$M$2,0)),'Line downtime'!$O$3:$O$40,$A20)</f>
        <v>10</v>
      </c>
      <c r="F20">
        <f>SUMIFS(INDEX('Line downtime'!$B$3:$M$40,0,MATCH(F$19,'Line downtime'!$B$2:$M$2,0)),'Line downtime'!$O$3:$O$40,$A20)</f>
        <v>44</v>
      </c>
      <c r="G20" s="10">
        <f>SUM(B20:F20)</f>
        <v>274</v>
      </c>
      <c r="I20" s="8" t="s">
        <v>40</v>
      </c>
      <c r="J20" s="9">
        <f>SUMIFS('Line productivity'!$G$2:$G$39,'Line productivity'!$D$2:$D$39,I20)/SUMIFS('Line productivity'!$H$2:$H$39,'Line productivity'!$D$2:$D$39,I20)</f>
        <v>0.66839378238341973</v>
      </c>
    </row>
    <row r="21" spans="1:10" ht="15" x14ac:dyDescent="0.35">
      <c r="A21" s="8" t="s">
        <v>41</v>
      </c>
      <c r="B21">
        <f>SUMIFS(INDEX('Line downtime'!$B$3:$M$40,0,MATCH(B$19,'Line downtime'!$B$2:$M$2,0)),'Line downtime'!$O$3:$O$40,$A21)</f>
        <v>79</v>
      </c>
      <c r="C21">
        <f>SUMIFS(INDEX('Line downtime'!$B$3:$M$40,0,MATCH(C$19,'Line downtime'!$B$2:$M$2,0)),'Line downtime'!$O$3:$O$40,$A21)</f>
        <v>36</v>
      </c>
      <c r="D21">
        <f>SUMIFS(INDEX('Line downtime'!$B$3:$M$40,0,MATCH(D$19,'Line downtime'!$B$2:$M$2,0)),'Line downtime'!$O$3:$O$40,$A21)</f>
        <v>85</v>
      </c>
      <c r="E21">
        <f>SUMIFS(INDEX('Line downtime'!$B$3:$M$40,0,MATCH(E$19,'Line downtime'!$B$2:$M$2,0)),'Line downtime'!$O$3:$O$40,$A21)</f>
        <v>20</v>
      </c>
      <c r="F21">
        <f>SUMIFS(INDEX('Line downtime'!$B$3:$M$40,0,MATCH(F$19,'Line downtime'!$B$2:$M$2,0)),'Line downtime'!$O$3:$O$40,$A21)</f>
        <v>30</v>
      </c>
      <c r="G21" s="10">
        <f t="shared" ref="G21:G23" si="1">SUM(B21:F21)</f>
        <v>250</v>
      </c>
      <c r="I21" s="8" t="s">
        <v>41</v>
      </c>
      <c r="J21" s="9">
        <f>SUMIFS('Line productivity'!$G$2:$G$39,'Line productivity'!$D$2:$D$39,I21)/SUMIFS('Line productivity'!$H$2:$H$39,'Line productivity'!$D$2:$D$39,I21)</f>
        <v>0.64077669902912626</v>
      </c>
    </row>
    <row r="22" spans="1:10" ht="15" x14ac:dyDescent="0.35">
      <c r="A22" s="8" t="s">
        <v>42</v>
      </c>
      <c r="B22">
        <f>SUMIFS(INDEX('Line downtime'!$B$3:$M$40,0,MATCH(B$19,'Line downtime'!$B$2:$M$2,0)),'Line downtime'!$O$3:$O$40,$A22)</f>
        <v>120</v>
      </c>
      <c r="C22">
        <f>SUMIFS(INDEX('Line downtime'!$B$3:$M$40,0,MATCH(C$19,'Line downtime'!$B$2:$M$2,0)),'Line downtime'!$O$3:$O$40,$A22)</f>
        <v>88</v>
      </c>
      <c r="D22">
        <f>SUMIFS(INDEX('Line downtime'!$B$3:$M$40,0,MATCH(D$19,'Line downtime'!$B$2:$M$2,0)),'Line downtime'!$O$3:$O$40,$A22)</f>
        <v>43</v>
      </c>
      <c r="E22">
        <f>SUMIFS(INDEX('Line downtime'!$B$3:$M$40,0,MATCH(E$19,'Line downtime'!$B$2:$M$2,0)),'Line downtime'!$O$3:$O$40,$A22)</f>
        <v>0</v>
      </c>
      <c r="F22">
        <f>SUMIFS(INDEX('Line downtime'!$B$3:$M$40,0,MATCH(F$19,'Line downtime'!$B$2:$M$2,0)),'Line downtime'!$O$3:$O$40,$A22)</f>
        <v>24</v>
      </c>
      <c r="G22" s="10">
        <f t="shared" si="1"/>
        <v>275</v>
      </c>
      <c r="I22" s="8" t="s">
        <v>42</v>
      </c>
      <c r="J22" s="9">
        <f>SUMIFS('Line productivity'!$G$2:$G$39,'Line productivity'!$D$2:$D$39,I22)/SUMIFS('Line productivity'!$H$2:$H$39,'Line productivity'!$D$2:$D$39,I22)</f>
        <v>0.63170731707317074</v>
      </c>
    </row>
    <row r="23" spans="1:10" ht="15" x14ac:dyDescent="0.35">
      <c r="A23" s="8" t="s">
        <v>43</v>
      </c>
      <c r="B23">
        <f>SUMIFS(INDEX('Line downtime'!$B$3:$M$40,0,MATCH(B$19,'Line downtime'!$B$2:$M$2,0)),'Line downtime'!$O$3:$O$40,$A23)</f>
        <v>15</v>
      </c>
      <c r="C23">
        <f>SUMIFS(INDEX('Line downtime'!$B$3:$M$40,0,MATCH(C$19,'Line downtime'!$B$2:$M$2,0)),'Line downtime'!$O$3:$O$40,$A23)</f>
        <v>45</v>
      </c>
      <c r="D23">
        <f>SUMIFS(INDEX('Line downtime'!$B$3:$M$40,0,MATCH(D$19,'Line downtime'!$B$2:$M$2,0)),'Line downtime'!$O$3:$O$40,$A23)</f>
        <v>80</v>
      </c>
      <c r="E23">
        <f>SUMIFS(INDEX('Line downtime'!$B$3:$M$40,0,MATCH(E$19,'Line downtime'!$B$2:$M$2,0)),'Line downtime'!$O$3:$O$40,$A23)</f>
        <v>130</v>
      </c>
      <c r="F23">
        <f>SUMIFS(INDEX('Line downtime'!$B$3:$M$40,0,MATCH(F$19,'Line downtime'!$B$2:$M$2,0)),'Line downtime'!$O$3:$O$40,$A23)</f>
        <v>47</v>
      </c>
      <c r="G23" s="10">
        <f t="shared" si="1"/>
        <v>317</v>
      </c>
      <c r="I23" s="8" t="s">
        <v>43</v>
      </c>
      <c r="J23" s="9">
        <f>SUMIFS('Line productivity'!$G$2:$G$39,'Line productivity'!$D$2:$D$39,I23)/SUMIFS('Line productivity'!$H$2:$H$39,'Line productivity'!$D$2:$D$39,I23)</f>
        <v>0.60941176470588243</v>
      </c>
    </row>
  </sheetData>
  <sortState xmlns:xlrd2="http://schemas.microsoft.com/office/spreadsheetml/2017/richdata2" ref="A4:C15">
    <sortCondition descending="1" ref="C4:C15"/>
  </sortState>
  <conditionalFormatting sqref="A20:F23">
    <cfRule type="colorScale" priority="2">
      <colorScale>
        <cfvo type="min"/>
        <cfvo type="percentile" val="50"/>
        <cfvo type="max"/>
        <color theme="0"/>
        <color rgb="FFFCFCFF"/>
        <color rgb="FFC00000"/>
      </colorScale>
    </cfRule>
  </conditionalFormatting>
  <conditionalFormatting sqref="I20:I23">
    <cfRule type="colorScale" priority="1">
      <colorScale>
        <cfvo type="min"/>
        <cfvo type="percentile" val="50"/>
        <cfvo type="max"/>
        <color theme="0"/>
        <color rgb="FFFCFCFF"/>
        <color rgb="FFC00000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62F3-8C54-4C2B-8E48-722D67F8C002}">
  <dimension ref="A1:K39"/>
  <sheetViews>
    <sheetView workbookViewId="0">
      <selection activeCell="I20" sqref="I20"/>
    </sheetView>
  </sheetViews>
  <sheetFormatPr defaultRowHeight="14.4" x14ac:dyDescent="0.3"/>
  <cols>
    <col min="1" max="1" width="10.44140625" bestFit="1" customWidth="1"/>
    <col min="2" max="2" width="9.5546875" bestFit="1" customWidth="1"/>
    <col min="3" max="3" width="8.88671875" customWidth="1"/>
    <col min="4" max="4" width="10.33203125" customWidth="1"/>
    <col min="5" max="5" width="11.44140625" customWidth="1"/>
    <col min="6" max="6" width="10.44140625" customWidth="1"/>
    <col min="7" max="7" width="15.21875" customWidth="1"/>
    <col min="8" max="8" width="11.88671875" style="4" customWidth="1"/>
    <col min="9" max="9" width="16.109375" bestFit="1" customWidth="1"/>
    <col min="10" max="11" width="8.88671875" customWidth="1"/>
    <col min="13" max="13" width="8.88671875" customWidth="1"/>
  </cols>
  <sheetData>
    <row r="1" spans="1:1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5" t="s">
        <v>39</v>
      </c>
      <c r="H1" s="6" t="s">
        <v>44</v>
      </c>
      <c r="I1" s="7" t="s">
        <v>45</v>
      </c>
      <c r="J1" s="7" t="s">
        <v>46</v>
      </c>
      <c r="K1" s="7" t="s">
        <v>47</v>
      </c>
    </row>
    <row r="2" spans="1:11" x14ac:dyDescent="0.3">
      <c r="A2" s="1">
        <v>45533</v>
      </c>
      <c r="B2" t="s">
        <v>24</v>
      </c>
      <c r="C2">
        <v>422111</v>
      </c>
      <c r="D2" t="s">
        <v>43</v>
      </c>
      <c r="E2" s="3">
        <v>0.49305555555555558</v>
      </c>
      <c r="F2" s="3">
        <v>0.58680555555555558</v>
      </c>
      <c r="G2">
        <f>INDEX(Products!$D:$D, MATCH(B2, Products!$A:$A, 0))</f>
        <v>60</v>
      </c>
      <c r="H2" s="4">
        <f>MOD(F2-E2,1)*1440</f>
        <v>135</v>
      </c>
      <c r="I2">
        <f>INDEX('Line downtime'!$N$3:$N$40, MATCH(C2,'Line downtime'!$A$3:$A$40,0))</f>
        <v>75</v>
      </c>
      <c r="J2" s="4">
        <f t="shared" ref="J2:J39" si="0">H2-G2-I2</f>
        <v>0</v>
      </c>
      <c r="K2" s="9">
        <f t="shared" ref="K2:K39" si="1">G2/H2</f>
        <v>0.44444444444444442</v>
      </c>
    </row>
    <row r="3" spans="1:11" x14ac:dyDescent="0.3">
      <c r="A3" s="1">
        <v>45533</v>
      </c>
      <c r="B3" t="s">
        <v>25</v>
      </c>
      <c r="C3">
        <v>422112</v>
      </c>
      <c r="D3" t="s">
        <v>43</v>
      </c>
      <c r="E3" s="3">
        <v>0.58680555555555558</v>
      </c>
      <c r="F3" s="3">
        <v>0.65625</v>
      </c>
      <c r="G3">
        <f>INDEX(Products!$D:$D, MATCH(B3, Products!$A:$A, 0))</f>
        <v>60</v>
      </c>
      <c r="H3" s="4">
        <f t="shared" ref="H3:H39" si="2">MOD(F3-E3,1)*1440</f>
        <v>99.999999999999972</v>
      </c>
      <c r="I3">
        <f>INDEX('Line downtime'!$N$3:$N$40, MATCH(C3,'Line downtime'!$A$3:$A$40,0))</f>
        <v>40</v>
      </c>
      <c r="J3" s="4">
        <f t="shared" si="0"/>
        <v>0</v>
      </c>
      <c r="K3" s="9">
        <f t="shared" si="1"/>
        <v>0.6000000000000002</v>
      </c>
    </row>
    <row r="4" spans="1:11" x14ac:dyDescent="0.3">
      <c r="A4" s="1">
        <v>45533</v>
      </c>
      <c r="B4" t="s">
        <v>25</v>
      </c>
      <c r="C4">
        <v>422113</v>
      </c>
      <c r="D4" t="s">
        <v>43</v>
      </c>
      <c r="E4" s="3">
        <v>0.65625</v>
      </c>
      <c r="F4" s="3">
        <v>0.73263888888888884</v>
      </c>
      <c r="G4">
        <f>INDEX(Products!$D:$D, MATCH(B4, Products!$A:$A, 0))</f>
        <v>60</v>
      </c>
      <c r="H4" s="4">
        <f t="shared" si="2"/>
        <v>109.99999999999993</v>
      </c>
      <c r="I4">
        <f>INDEX('Line downtime'!$N$3:$N$40, MATCH(C4,'Line downtime'!$A$3:$A$40,0))</f>
        <v>50</v>
      </c>
      <c r="J4" s="4">
        <f t="shared" si="0"/>
        <v>-7.1054273576010019E-14</v>
      </c>
      <c r="K4" s="9">
        <f t="shared" si="1"/>
        <v>0.54545454545454586</v>
      </c>
    </row>
    <row r="5" spans="1:11" x14ac:dyDescent="0.3">
      <c r="A5" s="1">
        <v>45533</v>
      </c>
      <c r="B5" t="s">
        <v>25</v>
      </c>
      <c r="C5">
        <v>422114</v>
      </c>
      <c r="D5" t="s">
        <v>43</v>
      </c>
      <c r="E5" s="3">
        <v>0.73263888888888884</v>
      </c>
      <c r="F5" s="3">
        <v>0.80208333333333326</v>
      </c>
      <c r="G5">
        <f>INDEX(Products!$D:$D, MATCH(B5, Products!$A:$A, 0))</f>
        <v>60</v>
      </c>
      <c r="H5" s="4">
        <f t="shared" si="2"/>
        <v>99.999999999999972</v>
      </c>
      <c r="I5">
        <f>INDEX('Line downtime'!$N$3:$N$40, MATCH(C5,'Line downtime'!$A$3:$A$40,0))</f>
        <v>40</v>
      </c>
      <c r="J5" s="4">
        <f t="shared" si="0"/>
        <v>0</v>
      </c>
      <c r="K5" s="9">
        <f t="shared" si="1"/>
        <v>0.6000000000000002</v>
      </c>
    </row>
    <row r="6" spans="1:11" x14ac:dyDescent="0.3">
      <c r="A6" s="1">
        <v>45533</v>
      </c>
      <c r="B6" t="s">
        <v>25</v>
      </c>
      <c r="C6">
        <v>422115</v>
      </c>
      <c r="D6" t="s">
        <v>40</v>
      </c>
      <c r="E6" s="3">
        <v>0.80208333333333326</v>
      </c>
      <c r="F6" s="3">
        <v>0.86041666666666661</v>
      </c>
      <c r="G6">
        <f>INDEX(Products!$D:$D, MATCH(B6, Products!$A:$A, 0))</f>
        <v>60</v>
      </c>
      <c r="H6" s="4">
        <f t="shared" si="2"/>
        <v>84.000000000000028</v>
      </c>
      <c r="I6">
        <f>INDEX('Line downtime'!$N$3:$N$40, MATCH(C6,'Line downtime'!$A$3:$A$40,0))</f>
        <v>24</v>
      </c>
      <c r="J6" s="4">
        <f t="shared" si="0"/>
        <v>2.8421709430404007E-14</v>
      </c>
      <c r="K6" s="9">
        <f t="shared" si="1"/>
        <v>0.71428571428571408</v>
      </c>
    </row>
    <row r="7" spans="1:11" x14ac:dyDescent="0.3">
      <c r="A7" s="1">
        <v>45533</v>
      </c>
      <c r="B7" t="s">
        <v>25</v>
      </c>
      <c r="C7">
        <v>422116</v>
      </c>
      <c r="D7" t="s">
        <v>40</v>
      </c>
      <c r="E7" s="3">
        <v>0.86041666666666661</v>
      </c>
      <c r="F7" s="3">
        <v>0.90208333333333324</v>
      </c>
      <c r="G7">
        <f>INDEX(Products!$D:$D, MATCH(B7, Products!$A:$A, 0))</f>
        <v>60</v>
      </c>
      <c r="H7" s="4">
        <f t="shared" si="2"/>
        <v>59.999999999999943</v>
      </c>
      <c r="I7">
        <f>INDEX('Line downtime'!$N$3:$N$40, MATCH(C7,'Line downtime'!$A$3:$A$40,0))</f>
        <v>0</v>
      </c>
      <c r="J7" s="4">
        <f t="shared" si="0"/>
        <v>-5.6843418860808015E-14</v>
      </c>
      <c r="K7" s="9">
        <f t="shared" si="1"/>
        <v>1.0000000000000009</v>
      </c>
    </row>
    <row r="8" spans="1:11" x14ac:dyDescent="0.3">
      <c r="A8" s="1">
        <v>45533</v>
      </c>
      <c r="B8" t="s">
        <v>25</v>
      </c>
      <c r="C8">
        <v>422117</v>
      </c>
      <c r="D8" t="s">
        <v>40</v>
      </c>
      <c r="E8" s="3">
        <v>0.90208333333333324</v>
      </c>
      <c r="F8" s="3">
        <v>0.95416666666666661</v>
      </c>
      <c r="G8">
        <f>INDEX(Products!$D:$D, MATCH(B8, Products!$A:$A, 0))</f>
        <v>60</v>
      </c>
      <c r="H8" s="4">
        <f t="shared" si="2"/>
        <v>75.000000000000057</v>
      </c>
      <c r="I8">
        <f>INDEX('Line downtime'!$N$3:$N$40, MATCH(C8,'Line downtime'!$A$3:$A$40,0))</f>
        <v>15</v>
      </c>
      <c r="J8" s="4">
        <f t="shared" si="0"/>
        <v>5.6843418860808015E-14</v>
      </c>
      <c r="K8" s="9">
        <f t="shared" si="1"/>
        <v>0.79999999999999938</v>
      </c>
    </row>
    <row r="9" spans="1:11" x14ac:dyDescent="0.3">
      <c r="A9" s="1">
        <v>45534</v>
      </c>
      <c r="B9" t="s">
        <v>26</v>
      </c>
      <c r="C9">
        <v>422118</v>
      </c>
      <c r="D9" t="s">
        <v>41</v>
      </c>
      <c r="E9" s="3">
        <v>0.1701388888888889</v>
      </c>
      <c r="F9" s="3">
        <v>0.25347222222222221</v>
      </c>
      <c r="G9">
        <f>INDEX(Products!$D:$D, MATCH(B9, Products!$A:$A, 0))</f>
        <v>60</v>
      </c>
      <c r="H9" s="4">
        <f t="shared" si="2"/>
        <v>119.99999999999997</v>
      </c>
      <c r="I9">
        <f>INDEX('Line downtime'!$N$3:$N$40, MATCH(C9,'Line downtime'!$A$3:$A$40,0))</f>
        <v>60</v>
      </c>
      <c r="J9" s="4">
        <f t="shared" si="0"/>
        <v>0</v>
      </c>
      <c r="K9" s="9">
        <f t="shared" si="1"/>
        <v>0.50000000000000011</v>
      </c>
    </row>
    <row r="10" spans="1:11" x14ac:dyDescent="0.3">
      <c r="A10" s="1">
        <v>45534</v>
      </c>
      <c r="B10" t="s">
        <v>26</v>
      </c>
      <c r="C10">
        <v>422119</v>
      </c>
      <c r="D10" t="s">
        <v>41</v>
      </c>
      <c r="E10" s="3">
        <v>0.25347222222222221</v>
      </c>
      <c r="F10" s="3">
        <v>0.3125</v>
      </c>
      <c r="G10">
        <f>INDEX(Products!$D:$D, MATCH(B10, Products!$A:$A, 0))</f>
        <v>60</v>
      </c>
      <c r="H10" s="4">
        <f t="shared" si="2"/>
        <v>85.000000000000014</v>
      </c>
      <c r="I10">
        <f>INDEX('Line downtime'!$N$3:$N$40, MATCH(C10,'Line downtime'!$A$3:$A$40,0))</f>
        <v>25</v>
      </c>
      <c r="J10" s="4">
        <f t="shared" si="0"/>
        <v>0</v>
      </c>
      <c r="K10" s="9">
        <f t="shared" si="1"/>
        <v>0.70588235294117641</v>
      </c>
    </row>
    <row r="11" spans="1:11" x14ac:dyDescent="0.3">
      <c r="A11" s="1">
        <v>45534</v>
      </c>
      <c r="B11" t="s">
        <v>26</v>
      </c>
      <c r="C11">
        <v>422120</v>
      </c>
      <c r="D11" t="s">
        <v>41</v>
      </c>
      <c r="E11" s="3">
        <v>0.3125</v>
      </c>
      <c r="F11" s="3">
        <v>0.39027777777777778</v>
      </c>
      <c r="G11">
        <f>INDEX(Products!$D:$D, MATCH(B11, Products!$A:$A, 0))</f>
        <v>60</v>
      </c>
      <c r="H11" s="4">
        <f t="shared" si="2"/>
        <v>112</v>
      </c>
      <c r="I11">
        <f>INDEX('Line downtime'!$N$3:$N$40, MATCH(C11,'Line downtime'!$A$3:$A$40,0))</f>
        <v>52</v>
      </c>
      <c r="J11" s="4">
        <f t="shared" si="0"/>
        <v>0</v>
      </c>
      <c r="K11" s="9">
        <f t="shared" si="1"/>
        <v>0.5357142857142857</v>
      </c>
    </row>
    <row r="12" spans="1:11" x14ac:dyDescent="0.3">
      <c r="A12" s="1">
        <v>45534</v>
      </c>
      <c r="B12" t="s">
        <v>26</v>
      </c>
      <c r="C12">
        <v>422121</v>
      </c>
      <c r="D12" t="s">
        <v>42</v>
      </c>
      <c r="E12" s="3">
        <v>0.39027777777777778</v>
      </c>
      <c r="F12" s="3">
        <v>0.44236111111111109</v>
      </c>
      <c r="G12">
        <f>INDEX(Products!$D:$D, MATCH(B12, Products!$A:$A, 0))</f>
        <v>60</v>
      </c>
      <c r="H12" s="4">
        <f t="shared" si="2"/>
        <v>74.999999999999972</v>
      </c>
      <c r="I12">
        <f>INDEX('Line downtime'!$N$3:$N$40, MATCH(C12,'Line downtime'!$A$3:$A$40,0))</f>
        <v>15</v>
      </c>
      <c r="J12" s="4">
        <f t="shared" si="0"/>
        <v>-2.8421709430404007E-14</v>
      </c>
      <c r="K12" s="9">
        <f t="shared" si="1"/>
        <v>0.80000000000000027</v>
      </c>
    </row>
    <row r="13" spans="1:11" x14ac:dyDescent="0.3">
      <c r="A13" s="1">
        <v>45534</v>
      </c>
      <c r="B13" t="s">
        <v>26</v>
      </c>
      <c r="C13">
        <v>422122</v>
      </c>
      <c r="D13" t="s">
        <v>42</v>
      </c>
      <c r="E13" s="3">
        <v>0.44236111111111109</v>
      </c>
      <c r="F13" s="3">
        <v>0.50138888888888888</v>
      </c>
      <c r="G13">
        <f>INDEX(Products!$D:$D, MATCH(B13, Products!$A:$A, 0))</f>
        <v>60</v>
      </c>
      <c r="H13" s="4">
        <f t="shared" si="2"/>
        <v>85.000000000000014</v>
      </c>
      <c r="I13">
        <f>INDEX('Line downtime'!$N$3:$N$40, MATCH(C13,'Line downtime'!$A$3:$A$40,0))</f>
        <v>25</v>
      </c>
      <c r="J13" s="4">
        <f t="shared" si="0"/>
        <v>0</v>
      </c>
      <c r="K13" s="9">
        <f t="shared" si="1"/>
        <v>0.70588235294117641</v>
      </c>
    </row>
    <row r="14" spans="1:11" x14ac:dyDescent="0.3">
      <c r="A14" s="1">
        <v>45534</v>
      </c>
      <c r="B14" t="s">
        <v>26</v>
      </c>
      <c r="C14">
        <v>422123</v>
      </c>
      <c r="D14" t="s">
        <v>42</v>
      </c>
      <c r="E14" s="3">
        <v>0.50138888888888888</v>
      </c>
      <c r="F14" s="3">
        <v>0.59375</v>
      </c>
      <c r="G14">
        <f>INDEX(Products!$D:$D, MATCH(B14, Products!$A:$A, 0))</f>
        <v>60</v>
      </c>
      <c r="H14" s="4">
        <f t="shared" si="2"/>
        <v>133</v>
      </c>
      <c r="I14">
        <f>INDEX('Line downtime'!$N$3:$N$40, MATCH(C14,'Line downtime'!$A$3:$A$40,0))</f>
        <v>73</v>
      </c>
      <c r="J14" s="4">
        <f t="shared" si="0"/>
        <v>0</v>
      </c>
      <c r="K14" s="9">
        <f t="shared" si="1"/>
        <v>0.45112781954887216</v>
      </c>
    </row>
    <row r="15" spans="1:11" x14ac:dyDescent="0.3">
      <c r="A15" s="1">
        <v>45534</v>
      </c>
      <c r="B15" t="s">
        <v>26</v>
      </c>
      <c r="C15">
        <v>422124</v>
      </c>
      <c r="D15" t="s">
        <v>42</v>
      </c>
      <c r="E15" s="3">
        <v>0.59375</v>
      </c>
      <c r="F15" s="3">
        <v>0.66319444444444442</v>
      </c>
      <c r="G15">
        <f>INDEX(Products!$D:$D, MATCH(B15, Products!$A:$A, 0))</f>
        <v>60</v>
      </c>
      <c r="H15" s="4">
        <f t="shared" si="2"/>
        <v>99.999999999999972</v>
      </c>
      <c r="I15">
        <f>INDEX('Line downtime'!$N$3:$N$40, MATCH(C15,'Line downtime'!$A$3:$A$40,0))</f>
        <v>40</v>
      </c>
      <c r="J15" s="4">
        <f t="shared" si="0"/>
        <v>0</v>
      </c>
      <c r="K15" s="9">
        <f t="shared" si="1"/>
        <v>0.6000000000000002</v>
      </c>
    </row>
    <row r="16" spans="1:11" x14ac:dyDescent="0.3">
      <c r="A16" s="1">
        <v>45534</v>
      </c>
      <c r="B16" t="s">
        <v>26</v>
      </c>
      <c r="C16">
        <v>422125</v>
      </c>
      <c r="D16" t="s">
        <v>40</v>
      </c>
      <c r="E16" s="3">
        <v>0.66319444444444442</v>
      </c>
      <c r="F16" s="3">
        <v>0.71875</v>
      </c>
      <c r="G16">
        <f>INDEX(Products!$D:$D, MATCH(B16, Products!$A:$A, 0))</f>
        <v>60</v>
      </c>
      <c r="H16" s="4">
        <f t="shared" si="2"/>
        <v>80.000000000000028</v>
      </c>
      <c r="I16">
        <f>INDEX('Line downtime'!$N$3:$N$40, MATCH(C16,'Line downtime'!$A$3:$A$40,0))</f>
        <v>20</v>
      </c>
      <c r="J16" s="4">
        <f t="shared" si="0"/>
        <v>2.8421709430404007E-14</v>
      </c>
      <c r="K16" s="9">
        <f t="shared" si="1"/>
        <v>0.74999999999999978</v>
      </c>
    </row>
    <row r="17" spans="1:11" x14ac:dyDescent="0.3">
      <c r="A17" s="1">
        <v>45534</v>
      </c>
      <c r="B17" t="s">
        <v>26</v>
      </c>
      <c r="C17">
        <v>422126</v>
      </c>
      <c r="D17" t="s">
        <v>40</v>
      </c>
      <c r="E17" s="3">
        <v>0.71875</v>
      </c>
      <c r="F17" s="3">
        <v>0.79097222222222219</v>
      </c>
      <c r="G17">
        <f>INDEX(Products!$D:$D, MATCH(B17, Products!$A:$A, 0))</f>
        <v>60</v>
      </c>
      <c r="H17" s="4">
        <f t="shared" si="2"/>
        <v>103.99999999999994</v>
      </c>
      <c r="I17">
        <f>INDEX('Line downtime'!$N$3:$N$40, MATCH(C17,'Line downtime'!$A$3:$A$40,0))</f>
        <v>44</v>
      </c>
      <c r="J17" s="4">
        <f t="shared" si="0"/>
        <v>-5.6843418860808015E-14</v>
      </c>
      <c r="K17" s="9">
        <f t="shared" si="1"/>
        <v>0.5769230769230772</v>
      </c>
    </row>
    <row r="18" spans="1:11" x14ac:dyDescent="0.3">
      <c r="A18" s="1">
        <v>45534</v>
      </c>
      <c r="B18" t="s">
        <v>26</v>
      </c>
      <c r="C18">
        <v>422127</v>
      </c>
      <c r="D18" t="s">
        <v>40</v>
      </c>
      <c r="E18" s="3">
        <v>0.79097222222222219</v>
      </c>
      <c r="F18" s="3">
        <v>0.84861111111111109</v>
      </c>
      <c r="G18">
        <f>INDEX(Products!$D:$D, MATCH(B18, Products!$A:$A, 0))</f>
        <v>60</v>
      </c>
      <c r="H18" s="4">
        <f t="shared" si="2"/>
        <v>83.000000000000028</v>
      </c>
      <c r="I18">
        <f>INDEX('Line downtime'!$N$3:$N$40, MATCH(C18,'Line downtime'!$A$3:$A$40,0))</f>
        <v>23</v>
      </c>
      <c r="J18" s="4">
        <f t="shared" si="0"/>
        <v>2.8421709430404007E-14</v>
      </c>
      <c r="K18" s="9">
        <f t="shared" si="1"/>
        <v>0.72289156626506001</v>
      </c>
    </row>
    <row r="19" spans="1:11" x14ac:dyDescent="0.3">
      <c r="A19" s="1">
        <v>45534</v>
      </c>
      <c r="B19" t="s">
        <v>26</v>
      </c>
      <c r="C19">
        <v>422128</v>
      </c>
      <c r="D19" t="s">
        <v>40</v>
      </c>
      <c r="E19" s="3">
        <v>0.84861111111111109</v>
      </c>
      <c r="F19" s="3">
        <v>0.92638888888888893</v>
      </c>
      <c r="G19">
        <f>INDEX(Products!$D:$D, MATCH(B19, Products!$A:$A, 0))</f>
        <v>60</v>
      </c>
      <c r="H19" s="4">
        <f t="shared" si="2"/>
        <v>112.00000000000009</v>
      </c>
      <c r="I19">
        <f>INDEX('Line downtime'!$N$3:$N$40, MATCH(C19,'Line downtime'!$A$3:$A$40,0))</f>
        <v>52</v>
      </c>
      <c r="J19" s="4">
        <f t="shared" si="0"/>
        <v>8.5265128291212022E-14</v>
      </c>
      <c r="K19" s="9">
        <f t="shared" si="1"/>
        <v>0.53571428571428525</v>
      </c>
    </row>
    <row r="20" spans="1:11" x14ac:dyDescent="0.3">
      <c r="A20" s="1">
        <v>45534</v>
      </c>
      <c r="B20" t="s">
        <v>26</v>
      </c>
      <c r="C20">
        <v>422129</v>
      </c>
      <c r="D20" t="s">
        <v>40</v>
      </c>
      <c r="E20" s="3">
        <v>0.92638888888888893</v>
      </c>
      <c r="F20" s="3">
        <v>0.97847222222222219</v>
      </c>
      <c r="G20">
        <f>INDEX(Products!$D:$D, MATCH(B20, Products!$A:$A, 0))</f>
        <v>60</v>
      </c>
      <c r="H20" s="4">
        <f t="shared" si="2"/>
        <v>74.999999999999886</v>
      </c>
      <c r="I20">
        <f>INDEX('Line downtime'!$N$3:$N$40, MATCH(C20,'Line downtime'!$A$3:$A$40,0))</f>
        <v>15</v>
      </c>
      <c r="J20" s="4">
        <f t="shared" si="0"/>
        <v>-1.1368683772161603E-13</v>
      </c>
      <c r="K20" s="9">
        <f t="shared" si="1"/>
        <v>0.80000000000000127</v>
      </c>
    </row>
    <row r="21" spans="1:11" x14ac:dyDescent="0.3">
      <c r="A21" s="1">
        <v>45535</v>
      </c>
      <c r="B21" t="s">
        <v>26</v>
      </c>
      <c r="C21">
        <v>422130</v>
      </c>
      <c r="D21" t="s">
        <v>41</v>
      </c>
      <c r="E21" s="3">
        <v>0.32291666666666669</v>
      </c>
      <c r="F21" s="3">
        <v>0.37847222222222221</v>
      </c>
      <c r="G21">
        <f>INDEX(Products!$D:$D, MATCH(B21, Products!$A:$A, 0))</f>
        <v>60</v>
      </c>
      <c r="H21" s="4">
        <f t="shared" si="2"/>
        <v>79.999999999999957</v>
      </c>
      <c r="I21">
        <f>INDEX('Line downtime'!$N$3:$N$40, MATCH(C21,'Line downtime'!$A$3:$A$40,0))</f>
        <v>20</v>
      </c>
      <c r="J21" s="4">
        <f t="shared" si="0"/>
        <v>-4.2632564145606011E-14</v>
      </c>
      <c r="K21" s="9">
        <f t="shared" si="1"/>
        <v>0.75000000000000044</v>
      </c>
    </row>
    <row r="22" spans="1:11" x14ac:dyDescent="0.3">
      <c r="A22" s="1">
        <v>45535</v>
      </c>
      <c r="B22" t="s">
        <v>26</v>
      </c>
      <c r="C22">
        <v>422131</v>
      </c>
      <c r="D22" t="s">
        <v>41</v>
      </c>
      <c r="E22" s="3">
        <v>0.37847222222222221</v>
      </c>
      <c r="F22" s="3">
        <v>0.44097222222222221</v>
      </c>
      <c r="G22">
        <f>INDEX(Products!$D:$D, MATCH(B22, Products!$A:$A, 0))</f>
        <v>60</v>
      </c>
      <c r="H22" s="4">
        <f t="shared" si="2"/>
        <v>90</v>
      </c>
      <c r="I22">
        <f>INDEX('Line downtime'!$N$3:$N$40, MATCH(C22,'Line downtime'!$A$3:$A$40,0))</f>
        <v>30</v>
      </c>
      <c r="J22" s="4">
        <f t="shared" si="0"/>
        <v>0</v>
      </c>
      <c r="K22" s="9">
        <f t="shared" si="1"/>
        <v>0.66666666666666663</v>
      </c>
    </row>
    <row r="23" spans="1:11" x14ac:dyDescent="0.3">
      <c r="A23" s="1">
        <v>45535</v>
      </c>
      <c r="B23" t="s">
        <v>26</v>
      </c>
      <c r="C23">
        <v>422132</v>
      </c>
      <c r="D23" t="s">
        <v>41</v>
      </c>
      <c r="E23" s="3">
        <v>0.44097222222222221</v>
      </c>
      <c r="F23" s="3">
        <v>0.4826388888888889</v>
      </c>
      <c r="G23">
        <f>INDEX(Products!$D:$D, MATCH(B23, Products!$A:$A, 0))</f>
        <v>60</v>
      </c>
      <c r="H23" s="4">
        <f t="shared" si="2"/>
        <v>60.000000000000028</v>
      </c>
      <c r="I23">
        <f>INDEX('Line downtime'!$N$3:$N$40, MATCH(C23,'Line downtime'!$A$3:$A$40,0))</f>
        <v>0</v>
      </c>
      <c r="J23" s="4">
        <f t="shared" si="0"/>
        <v>2.8421709430404007E-14</v>
      </c>
      <c r="K23" s="9">
        <f t="shared" si="1"/>
        <v>0.99999999999999956</v>
      </c>
    </row>
    <row r="24" spans="1:11" x14ac:dyDescent="0.3">
      <c r="A24" s="1">
        <v>45535</v>
      </c>
      <c r="B24" t="s">
        <v>27</v>
      </c>
      <c r="C24">
        <v>422133</v>
      </c>
      <c r="D24" t="s">
        <v>41</v>
      </c>
      <c r="E24" s="3">
        <v>0.4826388888888889</v>
      </c>
      <c r="F24" s="3">
        <v>0.53819444444444442</v>
      </c>
      <c r="G24">
        <f>INDEX(Products!$D:$D, MATCH(B24, Products!$A:$A, 0))</f>
        <v>60</v>
      </c>
      <c r="H24" s="4">
        <f t="shared" si="2"/>
        <v>79.999999999999957</v>
      </c>
      <c r="I24">
        <f>INDEX('Line downtime'!$N$3:$N$40, MATCH(C24,'Line downtime'!$A$3:$A$40,0))</f>
        <v>20</v>
      </c>
      <c r="J24" s="4">
        <f t="shared" si="0"/>
        <v>-4.2632564145606011E-14</v>
      </c>
      <c r="K24" s="9">
        <f t="shared" si="1"/>
        <v>0.75000000000000044</v>
      </c>
    </row>
    <row r="25" spans="1:11" x14ac:dyDescent="0.3">
      <c r="A25" s="1">
        <v>45535</v>
      </c>
      <c r="B25" t="s">
        <v>27</v>
      </c>
      <c r="C25">
        <v>422134</v>
      </c>
      <c r="D25" t="s">
        <v>43</v>
      </c>
      <c r="E25" s="3">
        <v>0.53819444444444442</v>
      </c>
      <c r="F25" s="3">
        <v>0.61458333333333337</v>
      </c>
      <c r="G25">
        <f>INDEX(Products!$D:$D, MATCH(B25, Products!$A:$A, 0))</f>
        <v>60</v>
      </c>
      <c r="H25" s="4">
        <f t="shared" si="2"/>
        <v>110.00000000000009</v>
      </c>
      <c r="I25">
        <f>INDEX('Line downtime'!$N$3:$N$40, MATCH(C25,'Line downtime'!$A$3:$A$40,0))</f>
        <v>50</v>
      </c>
      <c r="J25" s="4">
        <f t="shared" si="0"/>
        <v>8.5265128291212022E-14</v>
      </c>
      <c r="K25" s="9">
        <f t="shared" si="1"/>
        <v>0.54545454545454508</v>
      </c>
    </row>
    <row r="26" spans="1:11" x14ac:dyDescent="0.3">
      <c r="A26" s="1">
        <v>45535</v>
      </c>
      <c r="B26" t="s">
        <v>27</v>
      </c>
      <c r="C26">
        <v>422135</v>
      </c>
      <c r="D26" t="s">
        <v>43</v>
      </c>
      <c r="E26" s="3">
        <v>0.61458333333333337</v>
      </c>
      <c r="F26" s="3">
        <v>0.6875</v>
      </c>
      <c r="G26">
        <f>INDEX(Products!$D:$D, MATCH(B26, Products!$A:$A, 0))</f>
        <v>60</v>
      </c>
      <c r="H26" s="4">
        <f t="shared" si="2"/>
        <v>104.99999999999994</v>
      </c>
      <c r="I26">
        <f>INDEX('Line downtime'!$N$3:$N$40, MATCH(C26,'Line downtime'!$A$3:$A$40,0))</f>
        <v>45</v>
      </c>
      <c r="J26" s="4">
        <f t="shared" si="0"/>
        <v>-5.6843418860808015E-14</v>
      </c>
      <c r="K26" s="9">
        <f t="shared" si="1"/>
        <v>0.57142857142857173</v>
      </c>
    </row>
    <row r="27" spans="1:11" x14ac:dyDescent="0.3">
      <c r="A27" s="1">
        <v>45535</v>
      </c>
      <c r="B27" t="s">
        <v>27</v>
      </c>
      <c r="C27">
        <v>422136</v>
      </c>
      <c r="D27" t="s">
        <v>43</v>
      </c>
      <c r="E27" s="3">
        <v>0.6875</v>
      </c>
      <c r="F27" s="3">
        <v>0.72916666666666663</v>
      </c>
      <c r="G27">
        <f>INDEX(Products!$D:$D, MATCH(B27, Products!$A:$A, 0))</f>
        <v>60</v>
      </c>
      <c r="H27" s="4">
        <f t="shared" si="2"/>
        <v>59.999999999999943</v>
      </c>
      <c r="I27">
        <f>INDEX('Line downtime'!$N$3:$N$40, MATCH(C27,'Line downtime'!$A$3:$A$40,0))</f>
        <v>0</v>
      </c>
      <c r="J27" s="4">
        <f t="shared" si="0"/>
        <v>-5.6843418860808015E-14</v>
      </c>
      <c r="K27" s="9">
        <f t="shared" si="1"/>
        <v>1.0000000000000009</v>
      </c>
    </row>
    <row r="28" spans="1:11" x14ac:dyDescent="0.3">
      <c r="A28" s="1">
        <v>45537</v>
      </c>
      <c r="B28" t="s">
        <v>28</v>
      </c>
      <c r="C28">
        <v>422137</v>
      </c>
      <c r="D28" t="s">
        <v>41</v>
      </c>
      <c r="E28" s="3">
        <v>4.1666666666666664E-2</v>
      </c>
      <c r="F28" s="3">
        <v>0.11458333333333333</v>
      </c>
      <c r="G28">
        <f>INDEX(Products!$D:$D, MATCH(B28, Products!$A:$A, 0))</f>
        <v>60</v>
      </c>
      <c r="H28" s="4">
        <f t="shared" si="2"/>
        <v>104.99999999999999</v>
      </c>
      <c r="I28">
        <f>INDEX('Line downtime'!$N$3:$N$40, MATCH(C28,'Line downtime'!$A$3:$A$40,0))</f>
        <v>45</v>
      </c>
      <c r="J28" s="4">
        <f t="shared" si="0"/>
        <v>0</v>
      </c>
      <c r="K28" s="9">
        <f t="shared" si="1"/>
        <v>0.57142857142857151</v>
      </c>
    </row>
    <row r="29" spans="1:11" x14ac:dyDescent="0.3">
      <c r="A29" s="1">
        <v>45537</v>
      </c>
      <c r="B29" t="s">
        <v>28</v>
      </c>
      <c r="C29">
        <v>422138</v>
      </c>
      <c r="D29" t="s">
        <v>41</v>
      </c>
      <c r="E29" s="3">
        <v>0.11458333333333333</v>
      </c>
      <c r="F29" s="3">
        <v>0.1701388888888889</v>
      </c>
      <c r="G29">
        <f>INDEX(Products!$D:$D, MATCH(B29, Products!$A:$A, 0))</f>
        <v>60</v>
      </c>
      <c r="H29" s="4">
        <f t="shared" si="2"/>
        <v>80.000000000000014</v>
      </c>
      <c r="I29">
        <f>INDEX('Line downtime'!$N$3:$N$40, MATCH(C29,'Line downtime'!$A$3:$A$40,0))</f>
        <v>20</v>
      </c>
      <c r="J29" s="4">
        <f t="shared" si="0"/>
        <v>0</v>
      </c>
      <c r="K29" s="9">
        <f t="shared" si="1"/>
        <v>0.74999999999999989</v>
      </c>
    </row>
    <row r="30" spans="1:11" x14ac:dyDescent="0.3">
      <c r="A30" s="1">
        <v>45537</v>
      </c>
      <c r="B30" t="s">
        <v>28</v>
      </c>
      <c r="C30">
        <v>422139</v>
      </c>
      <c r="D30" t="s">
        <v>41</v>
      </c>
      <c r="E30" s="3">
        <v>0.1701388888888889</v>
      </c>
      <c r="F30" s="3">
        <v>0.2361111111111111</v>
      </c>
      <c r="G30">
        <f>INDEX(Products!$D:$D, MATCH(B30, Products!$A:$A, 0))</f>
        <v>60</v>
      </c>
      <c r="H30" s="4">
        <f t="shared" si="2"/>
        <v>94.999999999999986</v>
      </c>
      <c r="I30">
        <f>INDEX('Line downtime'!$N$3:$N$40, MATCH(C30,'Line downtime'!$A$3:$A$40,0))</f>
        <v>35</v>
      </c>
      <c r="J30" s="4">
        <f t="shared" si="0"/>
        <v>0</v>
      </c>
      <c r="K30" s="9">
        <f t="shared" si="1"/>
        <v>0.63157894736842113</v>
      </c>
    </row>
    <row r="31" spans="1:11" x14ac:dyDescent="0.3">
      <c r="A31" s="1">
        <v>45537</v>
      </c>
      <c r="B31" t="s">
        <v>28</v>
      </c>
      <c r="C31">
        <v>422140</v>
      </c>
      <c r="D31" t="s">
        <v>41</v>
      </c>
      <c r="E31" s="3">
        <v>0.2361111111111111</v>
      </c>
      <c r="F31" s="3">
        <v>0.3215277777777778</v>
      </c>
      <c r="G31">
        <f>INDEX(Products!$D:$D, MATCH(B31, Products!$A:$A, 0))</f>
        <v>60</v>
      </c>
      <c r="H31" s="4">
        <f t="shared" si="2"/>
        <v>123.00000000000004</v>
      </c>
      <c r="I31">
        <f>INDEX('Line downtime'!$N$3:$N$40, MATCH(C31,'Line downtime'!$A$3:$A$40,0))</f>
        <v>63</v>
      </c>
      <c r="J31" s="4">
        <f t="shared" si="0"/>
        <v>0</v>
      </c>
      <c r="K31" s="9">
        <f t="shared" si="1"/>
        <v>0.48780487804878031</v>
      </c>
    </row>
    <row r="32" spans="1:11" x14ac:dyDescent="0.3">
      <c r="A32" s="1">
        <v>45537</v>
      </c>
      <c r="B32" t="s">
        <v>28</v>
      </c>
      <c r="C32">
        <v>422141</v>
      </c>
      <c r="D32" t="s">
        <v>42</v>
      </c>
      <c r="E32" s="3">
        <v>0.3215277777777778</v>
      </c>
      <c r="F32" s="3">
        <v>0.36805555555555558</v>
      </c>
      <c r="G32">
        <f>INDEX(Products!$D:$D, MATCH(B32, Products!$A:$A, 0))</f>
        <v>60</v>
      </c>
      <c r="H32" s="4">
        <f t="shared" si="2"/>
        <v>67</v>
      </c>
      <c r="I32">
        <f>INDEX('Line downtime'!$N$3:$N$40, MATCH(C32,'Line downtime'!$A$3:$A$40,0))</f>
        <v>7</v>
      </c>
      <c r="J32" s="4">
        <f t="shared" si="0"/>
        <v>0</v>
      </c>
      <c r="K32" s="9">
        <f t="shared" si="1"/>
        <v>0.89552238805970152</v>
      </c>
    </row>
    <row r="33" spans="1:11" x14ac:dyDescent="0.3">
      <c r="A33" s="1">
        <v>45537</v>
      </c>
      <c r="B33" t="s">
        <v>28</v>
      </c>
      <c r="C33">
        <v>422142</v>
      </c>
      <c r="D33" t="s">
        <v>42</v>
      </c>
      <c r="E33" s="3">
        <v>0.36805555555555558</v>
      </c>
      <c r="F33" s="3">
        <v>0.43055555555555558</v>
      </c>
      <c r="G33">
        <f>INDEX(Products!$D:$D, MATCH(B33, Products!$A:$A, 0))</f>
        <v>60</v>
      </c>
      <c r="H33" s="4">
        <f t="shared" si="2"/>
        <v>90</v>
      </c>
      <c r="I33">
        <f>INDEX('Line downtime'!$N$3:$N$40, MATCH(C33,'Line downtime'!$A$3:$A$40,0))</f>
        <v>30</v>
      </c>
      <c r="J33" s="4">
        <f t="shared" si="0"/>
        <v>0</v>
      </c>
      <c r="K33" s="9">
        <f t="shared" si="1"/>
        <v>0.66666666666666663</v>
      </c>
    </row>
    <row r="34" spans="1:11" x14ac:dyDescent="0.3">
      <c r="A34" s="1">
        <v>45537</v>
      </c>
      <c r="B34" t="s">
        <v>28</v>
      </c>
      <c r="C34">
        <v>422143</v>
      </c>
      <c r="D34" t="s">
        <v>42</v>
      </c>
      <c r="E34" s="3">
        <v>0.43055555555555558</v>
      </c>
      <c r="F34" s="3">
        <v>0.51249999999999996</v>
      </c>
      <c r="G34">
        <f>INDEX(Products!$D:$D, MATCH(B34, Products!$A:$A, 0))</f>
        <v>60</v>
      </c>
      <c r="H34" s="4">
        <f t="shared" si="2"/>
        <v>117.9999999999999</v>
      </c>
      <c r="I34">
        <f>INDEX('Line downtime'!$N$3:$N$40, MATCH(C34,'Line downtime'!$A$3:$A$40,0))</f>
        <v>58</v>
      </c>
      <c r="J34" s="4">
        <f t="shared" si="0"/>
        <v>-9.9475983006414026E-14</v>
      </c>
      <c r="K34" s="9">
        <f t="shared" si="1"/>
        <v>0.50847457627118686</v>
      </c>
    </row>
    <row r="35" spans="1:11" x14ac:dyDescent="0.3">
      <c r="A35" s="1">
        <v>45537</v>
      </c>
      <c r="B35" t="s">
        <v>29</v>
      </c>
      <c r="C35">
        <v>422144</v>
      </c>
      <c r="D35" t="s">
        <v>42</v>
      </c>
      <c r="E35" s="3">
        <v>0.51249999999999996</v>
      </c>
      <c r="F35" s="3">
        <v>0.61805555555555558</v>
      </c>
      <c r="G35">
        <f>INDEX(Products!$D:$D, MATCH(B35, Products!$A:$A, 0))</f>
        <v>98</v>
      </c>
      <c r="H35" s="4">
        <f t="shared" si="2"/>
        <v>152.00000000000011</v>
      </c>
      <c r="I35">
        <f>INDEX('Line downtime'!$N$3:$N$40, MATCH(C35,'Line downtime'!$A$3:$A$40,0))</f>
        <v>54</v>
      </c>
      <c r="J35" s="4">
        <f t="shared" si="0"/>
        <v>1.1368683772161603E-13</v>
      </c>
      <c r="K35" s="9">
        <f t="shared" si="1"/>
        <v>0.64473684210526272</v>
      </c>
    </row>
    <row r="36" spans="1:11" x14ac:dyDescent="0.3">
      <c r="A36" s="1">
        <v>45537</v>
      </c>
      <c r="B36" t="s">
        <v>29</v>
      </c>
      <c r="C36">
        <v>422145</v>
      </c>
      <c r="D36" t="s">
        <v>40</v>
      </c>
      <c r="E36" s="3">
        <v>0.61805555555555558</v>
      </c>
      <c r="F36" s="3">
        <v>0.70138888888888895</v>
      </c>
      <c r="G36">
        <f>INDEX(Products!$D:$D, MATCH(B36, Products!$A:$A, 0))</f>
        <v>98</v>
      </c>
      <c r="H36" s="4">
        <f t="shared" si="2"/>
        <v>120.00000000000006</v>
      </c>
      <c r="I36">
        <f>INDEX('Line downtime'!$N$3:$N$40, MATCH(C36,'Line downtime'!$A$3:$A$40,0))</f>
        <v>22</v>
      </c>
      <c r="J36" s="4">
        <f t="shared" si="0"/>
        <v>5.6843418860808015E-14</v>
      </c>
      <c r="K36" s="9">
        <f t="shared" si="1"/>
        <v>0.81666666666666632</v>
      </c>
    </row>
    <row r="37" spans="1:11" x14ac:dyDescent="0.3">
      <c r="A37" s="1">
        <v>45537</v>
      </c>
      <c r="B37" t="s">
        <v>29</v>
      </c>
      <c r="C37">
        <v>422146</v>
      </c>
      <c r="D37" t="s">
        <v>40</v>
      </c>
      <c r="E37" s="3">
        <v>0.70138888888888895</v>
      </c>
      <c r="F37" s="3">
        <v>0.8125</v>
      </c>
      <c r="G37">
        <f>INDEX(Products!$D:$D, MATCH(B37, Products!$A:$A, 0))</f>
        <v>98</v>
      </c>
      <c r="H37" s="4">
        <f t="shared" si="2"/>
        <v>159.99999999999991</v>
      </c>
      <c r="I37">
        <f>INDEX('Line downtime'!$N$3:$N$40, MATCH(C37,'Line downtime'!$A$3:$A$40,0))</f>
        <v>62</v>
      </c>
      <c r="J37" s="4">
        <f t="shared" si="0"/>
        <v>-8.5265128291212022E-14</v>
      </c>
      <c r="K37" s="9">
        <f t="shared" si="1"/>
        <v>0.61250000000000038</v>
      </c>
    </row>
    <row r="38" spans="1:11" x14ac:dyDescent="0.3">
      <c r="A38" s="1">
        <v>45537</v>
      </c>
      <c r="B38" t="s">
        <v>29</v>
      </c>
      <c r="C38">
        <v>422147</v>
      </c>
      <c r="D38" t="s">
        <v>40</v>
      </c>
      <c r="E38" s="3">
        <v>0.8125</v>
      </c>
      <c r="F38" s="3">
        <v>0.95486111111111116</v>
      </c>
      <c r="G38">
        <f>INDEX(Products!$D:$D, MATCH(B38, Products!$A:$A, 0))</f>
        <v>98</v>
      </c>
      <c r="H38" s="4">
        <f t="shared" si="2"/>
        <v>205.00000000000006</v>
      </c>
      <c r="I38">
        <f>INDEX('Line downtime'!$N$3:$N$40, MATCH(C38,'Line downtime'!$A$3:$A$40,0))</f>
        <v>107</v>
      </c>
      <c r="J38" s="4">
        <f t="shared" si="0"/>
        <v>0</v>
      </c>
      <c r="K38" s="9">
        <f t="shared" si="1"/>
        <v>0.47804878048780475</v>
      </c>
    </row>
    <row r="39" spans="1:11" x14ac:dyDescent="0.3">
      <c r="A39" s="1">
        <v>45538</v>
      </c>
      <c r="B39" t="s">
        <v>29</v>
      </c>
      <c r="C39">
        <v>422148</v>
      </c>
      <c r="D39" t="s">
        <v>43</v>
      </c>
      <c r="E39" s="3">
        <v>0.95486111111111116</v>
      </c>
      <c r="F39" s="3">
        <v>1.0451388888888888</v>
      </c>
      <c r="G39">
        <f>INDEX(Products!$D:$D, MATCH(B39, Products!$A:$A, 0))</f>
        <v>98</v>
      </c>
      <c r="H39" s="4">
        <f t="shared" si="2"/>
        <v>129.99999999999986</v>
      </c>
      <c r="I39">
        <f>INDEX('Line downtime'!$N$3:$N$40, MATCH(C39,'Line downtime'!$A$3:$A$40,0))</f>
        <v>32</v>
      </c>
      <c r="J39" s="4">
        <f t="shared" si="0"/>
        <v>-1.4210854715202004E-13</v>
      </c>
      <c r="K39" s="9">
        <f t="shared" si="1"/>
        <v>0.75384615384615472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7A9A-369F-46C5-93C5-09FBB32FF7C0}">
  <dimension ref="A1:D7"/>
  <sheetViews>
    <sheetView workbookViewId="0"/>
  </sheetViews>
  <sheetFormatPr defaultRowHeight="14.4" x14ac:dyDescent="0.3"/>
  <cols>
    <col min="2" max="2" width="11.109375" bestFit="1" customWidth="1"/>
    <col min="4" max="4" width="14.44140625" bestFit="1" customWidth="1"/>
  </cols>
  <sheetData>
    <row r="1" spans="1:4" x14ac:dyDescent="0.3">
      <c r="A1" s="2" t="s">
        <v>1</v>
      </c>
      <c r="B1" s="2" t="s">
        <v>30</v>
      </c>
      <c r="C1" s="2" t="s">
        <v>31</v>
      </c>
      <c r="D1" s="2" t="s">
        <v>39</v>
      </c>
    </row>
    <row r="2" spans="1:4" x14ac:dyDescent="0.3">
      <c r="A2" t="s">
        <v>24</v>
      </c>
      <c r="B2" t="s">
        <v>32</v>
      </c>
      <c r="C2" t="s">
        <v>38</v>
      </c>
      <c r="D2">
        <v>60</v>
      </c>
    </row>
    <row r="3" spans="1:4" x14ac:dyDescent="0.3">
      <c r="A3" t="s">
        <v>25</v>
      </c>
      <c r="B3" t="s">
        <v>33</v>
      </c>
      <c r="C3" t="s">
        <v>38</v>
      </c>
      <c r="D3">
        <v>60</v>
      </c>
    </row>
    <row r="4" spans="1:4" x14ac:dyDescent="0.3">
      <c r="A4" t="s">
        <v>26</v>
      </c>
      <c r="B4" t="s">
        <v>34</v>
      </c>
      <c r="C4" t="s">
        <v>38</v>
      </c>
      <c r="D4">
        <v>60</v>
      </c>
    </row>
    <row r="5" spans="1:4" x14ac:dyDescent="0.3">
      <c r="A5" t="s">
        <v>27</v>
      </c>
      <c r="B5" t="s">
        <v>35</v>
      </c>
      <c r="C5" t="s">
        <v>38</v>
      </c>
      <c r="D5">
        <v>60</v>
      </c>
    </row>
    <row r="6" spans="1:4" x14ac:dyDescent="0.3">
      <c r="A6" t="s">
        <v>28</v>
      </c>
      <c r="B6" t="s">
        <v>36</v>
      </c>
      <c r="C6" t="s">
        <v>38</v>
      </c>
      <c r="D6">
        <v>60</v>
      </c>
    </row>
    <row r="7" spans="1:4" x14ac:dyDescent="0.3">
      <c r="A7" t="s">
        <v>29</v>
      </c>
      <c r="B7" t="s">
        <v>34</v>
      </c>
      <c r="C7" t="s">
        <v>37</v>
      </c>
      <c r="D7">
        <v>98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156D-DBB5-4EA9-A733-8897AD1035D5}">
  <dimension ref="A1:C13"/>
  <sheetViews>
    <sheetView workbookViewId="0"/>
  </sheetViews>
  <sheetFormatPr defaultRowHeight="14.4" x14ac:dyDescent="0.3"/>
  <cols>
    <col min="1" max="1" width="8.88671875" customWidth="1"/>
    <col min="2" max="2" width="19.33203125" bestFit="1" customWidth="1"/>
    <col min="3" max="3" width="14" bestFit="1" customWidth="1"/>
  </cols>
  <sheetData>
    <row r="1" spans="1:3" x14ac:dyDescent="0.3">
      <c r="A1" s="2" t="s">
        <v>6</v>
      </c>
      <c r="B1" s="2" t="s">
        <v>22</v>
      </c>
      <c r="C1" s="2" t="s">
        <v>7</v>
      </c>
    </row>
    <row r="2" spans="1:3" x14ac:dyDescent="0.3">
      <c r="A2">
        <v>1</v>
      </c>
      <c r="B2" t="s">
        <v>17</v>
      </c>
      <c r="C2" t="s">
        <v>20</v>
      </c>
    </row>
    <row r="3" spans="1:3" x14ac:dyDescent="0.3">
      <c r="A3">
        <v>2</v>
      </c>
      <c r="B3" t="s">
        <v>8</v>
      </c>
      <c r="C3" t="s">
        <v>21</v>
      </c>
    </row>
    <row r="4" spans="1:3" x14ac:dyDescent="0.3">
      <c r="A4">
        <v>3</v>
      </c>
      <c r="B4" t="s">
        <v>19</v>
      </c>
      <c r="C4" t="s">
        <v>20</v>
      </c>
    </row>
    <row r="5" spans="1:3" x14ac:dyDescent="0.3">
      <c r="A5">
        <v>4</v>
      </c>
      <c r="B5" t="s">
        <v>14</v>
      </c>
      <c r="C5" t="s">
        <v>20</v>
      </c>
    </row>
    <row r="6" spans="1:3" x14ac:dyDescent="0.3">
      <c r="A6">
        <v>5</v>
      </c>
      <c r="B6" t="s">
        <v>10</v>
      </c>
      <c r="C6" t="s">
        <v>21</v>
      </c>
    </row>
    <row r="7" spans="1:3" x14ac:dyDescent="0.3">
      <c r="A7">
        <v>6</v>
      </c>
      <c r="B7" t="s">
        <v>9</v>
      </c>
      <c r="C7" t="s">
        <v>21</v>
      </c>
    </row>
    <row r="8" spans="1:3" x14ac:dyDescent="0.3">
      <c r="A8">
        <v>7</v>
      </c>
      <c r="B8" t="s">
        <v>12</v>
      </c>
      <c r="C8" t="s">
        <v>20</v>
      </c>
    </row>
    <row r="9" spans="1:3" x14ac:dyDescent="0.3">
      <c r="A9">
        <v>8</v>
      </c>
      <c r="B9" t="s">
        <v>13</v>
      </c>
      <c r="C9" t="s">
        <v>21</v>
      </c>
    </row>
    <row r="10" spans="1:3" x14ac:dyDescent="0.3">
      <c r="A10">
        <v>9</v>
      </c>
      <c r="B10" t="s">
        <v>15</v>
      </c>
      <c r="C10" t="s">
        <v>20</v>
      </c>
    </row>
    <row r="11" spans="1:3" x14ac:dyDescent="0.3">
      <c r="A11">
        <v>10</v>
      </c>
      <c r="B11" t="s">
        <v>18</v>
      </c>
      <c r="C11" t="s">
        <v>21</v>
      </c>
    </row>
    <row r="12" spans="1:3" x14ac:dyDescent="0.3">
      <c r="A12">
        <v>11</v>
      </c>
      <c r="B12" t="s">
        <v>11</v>
      </c>
      <c r="C12" t="s">
        <v>21</v>
      </c>
    </row>
    <row r="13" spans="1:3" x14ac:dyDescent="0.3">
      <c r="A13">
        <v>12</v>
      </c>
      <c r="B13" t="s">
        <v>16</v>
      </c>
      <c r="C13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3E6B-C648-491E-9E5D-F67501FDD632}">
  <dimension ref="A1:O40"/>
  <sheetViews>
    <sheetView workbookViewId="0">
      <selection activeCell="R14" sqref="R14"/>
    </sheetView>
  </sheetViews>
  <sheetFormatPr defaultRowHeight="14.4" x14ac:dyDescent="0.3"/>
  <cols>
    <col min="1" max="1" width="8.88671875" customWidth="1"/>
    <col min="2" max="13" width="5.5546875" customWidth="1"/>
    <col min="14" max="14" width="13.88671875" bestFit="1" customWidth="1"/>
  </cols>
  <sheetData>
    <row r="1" spans="1:15" x14ac:dyDescent="0.3">
      <c r="B1" s="11" t="s">
        <v>23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5" x14ac:dyDescent="0.3">
      <c r="A2" s="2" t="s">
        <v>2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8" t="s">
        <v>45</v>
      </c>
      <c r="O2" s="8" t="s">
        <v>3</v>
      </c>
    </row>
    <row r="3" spans="1:15" x14ac:dyDescent="0.3">
      <c r="A3">
        <v>422111</v>
      </c>
      <c r="C3">
        <v>60</v>
      </c>
      <c r="H3">
        <v>15</v>
      </c>
      <c r="N3" s="8">
        <f>SUM(B3:M3)</f>
        <v>75</v>
      </c>
      <c r="O3" t="str">
        <f>INDEX('Line productivity'!$D$2:$D$39, MATCH(A3,'Line productivity'!$C$2:$C$39,0))</f>
        <v>Mac</v>
      </c>
    </row>
    <row r="4" spans="1:15" x14ac:dyDescent="0.3">
      <c r="A4">
        <v>422112</v>
      </c>
      <c r="C4">
        <v>20</v>
      </c>
      <c r="I4">
        <v>20</v>
      </c>
      <c r="N4" s="8">
        <f t="shared" ref="N4:N40" si="0">SUM(B4:M4)</f>
        <v>40</v>
      </c>
      <c r="O4" t="str">
        <f>INDEX('Line productivity'!$D$2:$D$39, MATCH(A4,'Line productivity'!$C$2:$C$39,0))</f>
        <v>Mac</v>
      </c>
    </row>
    <row r="5" spans="1:15" x14ac:dyDescent="0.3">
      <c r="A5">
        <v>422113</v>
      </c>
      <c r="C5">
        <v>50</v>
      </c>
      <c r="N5" s="8">
        <f t="shared" si="0"/>
        <v>50</v>
      </c>
      <c r="O5" t="str">
        <f>INDEX('Line productivity'!$D$2:$D$39, MATCH(A5,'Line productivity'!$C$2:$C$39,0))</f>
        <v>Mac</v>
      </c>
    </row>
    <row r="6" spans="1:15" x14ac:dyDescent="0.3">
      <c r="A6">
        <v>422114</v>
      </c>
      <c r="E6">
        <v>25</v>
      </c>
      <c r="G6">
        <v>15</v>
      </c>
      <c r="N6" s="8">
        <f t="shared" si="0"/>
        <v>40</v>
      </c>
      <c r="O6" t="str">
        <f>INDEX('Line productivity'!$D$2:$D$39, MATCH(A6,'Line productivity'!$C$2:$C$39,0))</f>
        <v>Mac</v>
      </c>
    </row>
    <row r="7" spans="1:15" x14ac:dyDescent="0.3">
      <c r="A7">
        <v>422115</v>
      </c>
      <c r="K7">
        <v>24</v>
      </c>
      <c r="N7" s="8">
        <f t="shared" si="0"/>
        <v>24</v>
      </c>
      <c r="O7" t="str">
        <f>INDEX('Line productivity'!$D$2:$D$39, MATCH(A7,'Line productivity'!$C$2:$C$39,0))</f>
        <v>Charlie</v>
      </c>
    </row>
    <row r="8" spans="1:15" x14ac:dyDescent="0.3">
      <c r="A8">
        <v>422116</v>
      </c>
      <c r="N8" s="8">
        <f t="shared" si="0"/>
        <v>0</v>
      </c>
      <c r="O8" t="str">
        <f>INDEX('Line productivity'!$D$2:$D$39, MATCH(A8,'Line productivity'!$C$2:$C$39,0))</f>
        <v>Charlie</v>
      </c>
    </row>
    <row r="9" spans="1:15" x14ac:dyDescent="0.3">
      <c r="A9">
        <v>422117</v>
      </c>
      <c r="C9">
        <v>10</v>
      </c>
      <c r="G9">
        <v>5</v>
      </c>
      <c r="N9" s="8">
        <f t="shared" si="0"/>
        <v>15</v>
      </c>
      <c r="O9" t="str">
        <f>INDEX('Line productivity'!$D$2:$D$39, MATCH(A9,'Line productivity'!$C$2:$C$39,0))</f>
        <v>Charlie</v>
      </c>
    </row>
    <row r="10" spans="1:15" x14ac:dyDescent="0.3">
      <c r="A10">
        <v>422118</v>
      </c>
      <c r="G10">
        <v>14</v>
      </c>
      <c r="H10">
        <v>16</v>
      </c>
      <c r="L10">
        <v>10</v>
      </c>
      <c r="M10">
        <v>20</v>
      </c>
      <c r="N10" s="8">
        <f t="shared" si="0"/>
        <v>60</v>
      </c>
      <c r="O10" t="str">
        <f>INDEX('Line productivity'!$D$2:$D$39, MATCH(A10,'Line productivity'!$C$2:$C$39,0))</f>
        <v>Dee</v>
      </c>
    </row>
    <row r="11" spans="1:15" x14ac:dyDescent="0.3">
      <c r="A11">
        <v>422119</v>
      </c>
      <c r="E11">
        <v>25</v>
      </c>
      <c r="N11" s="8">
        <f t="shared" si="0"/>
        <v>25</v>
      </c>
      <c r="O11" t="str">
        <f>INDEX('Line productivity'!$D$2:$D$39, MATCH(A11,'Line productivity'!$C$2:$C$39,0))</f>
        <v>Dee</v>
      </c>
    </row>
    <row r="12" spans="1:15" x14ac:dyDescent="0.3">
      <c r="A12">
        <v>422120</v>
      </c>
      <c r="E12">
        <v>20</v>
      </c>
      <c r="F12">
        <v>15</v>
      </c>
      <c r="J12">
        <v>17</v>
      </c>
      <c r="N12" s="8">
        <f t="shared" si="0"/>
        <v>52</v>
      </c>
      <c r="O12" t="str">
        <f>INDEX('Line productivity'!$D$2:$D$39, MATCH(A12,'Line productivity'!$C$2:$C$39,0))</f>
        <v>Dee</v>
      </c>
    </row>
    <row r="13" spans="1:15" x14ac:dyDescent="0.3">
      <c r="A13">
        <v>422121</v>
      </c>
      <c r="H13">
        <v>15</v>
      </c>
      <c r="N13" s="8">
        <f t="shared" si="0"/>
        <v>15</v>
      </c>
      <c r="O13" t="str">
        <f>INDEX('Line productivity'!$D$2:$D$39, MATCH(A13,'Line productivity'!$C$2:$C$39,0))</f>
        <v>Dennis</v>
      </c>
    </row>
    <row r="14" spans="1:15" x14ac:dyDescent="0.3">
      <c r="A14">
        <v>422122</v>
      </c>
      <c r="H14">
        <v>25</v>
      </c>
      <c r="N14" s="8">
        <f t="shared" si="0"/>
        <v>25</v>
      </c>
      <c r="O14" t="str">
        <f>INDEX('Line productivity'!$D$2:$D$39, MATCH(A14,'Line productivity'!$C$2:$C$39,0))</f>
        <v>Dennis</v>
      </c>
    </row>
    <row r="15" spans="1:15" x14ac:dyDescent="0.3">
      <c r="A15">
        <v>422123</v>
      </c>
      <c r="E15">
        <v>43</v>
      </c>
      <c r="H15">
        <v>30</v>
      </c>
      <c r="N15" s="8">
        <f t="shared" si="0"/>
        <v>73</v>
      </c>
      <c r="O15" t="str">
        <f>INDEX('Line productivity'!$D$2:$D$39, MATCH(A15,'Line productivity'!$C$2:$C$39,0))</f>
        <v>Dennis</v>
      </c>
    </row>
    <row r="16" spans="1:15" x14ac:dyDescent="0.3">
      <c r="A16">
        <v>422124</v>
      </c>
      <c r="F16">
        <v>20</v>
      </c>
      <c r="G16">
        <v>20</v>
      </c>
      <c r="N16" s="8">
        <f t="shared" si="0"/>
        <v>40</v>
      </c>
      <c r="O16" t="str">
        <f>INDEX('Line productivity'!$D$2:$D$39, MATCH(A16,'Line productivity'!$C$2:$C$39,0))</f>
        <v>Dennis</v>
      </c>
    </row>
    <row r="17" spans="1:15" x14ac:dyDescent="0.3">
      <c r="A17">
        <v>422125</v>
      </c>
      <c r="L17">
        <v>10</v>
      </c>
      <c r="M17">
        <v>10</v>
      </c>
      <c r="N17" s="8">
        <f t="shared" si="0"/>
        <v>20</v>
      </c>
      <c r="O17" t="str">
        <f>INDEX('Line productivity'!$D$2:$D$39, MATCH(A17,'Line productivity'!$C$2:$C$39,0))</f>
        <v>Charlie</v>
      </c>
    </row>
    <row r="18" spans="1:15" x14ac:dyDescent="0.3">
      <c r="A18">
        <v>422126</v>
      </c>
      <c r="I18">
        <v>44</v>
      </c>
      <c r="N18" s="8">
        <f t="shared" si="0"/>
        <v>44</v>
      </c>
      <c r="O18" t="str">
        <f>INDEX('Line productivity'!$D$2:$D$39, MATCH(A18,'Line productivity'!$C$2:$C$39,0))</f>
        <v>Charlie</v>
      </c>
    </row>
    <row r="19" spans="1:15" x14ac:dyDescent="0.3">
      <c r="A19">
        <v>422127</v>
      </c>
      <c r="G19">
        <v>23</v>
      </c>
      <c r="N19" s="8">
        <f t="shared" si="0"/>
        <v>23</v>
      </c>
      <c r="O19" t="str">
        <f>INDEX('Line productivity'!$D$2:$D$39, MATCH(A19,'Line productivity'!$C$2:$C$39,0))</f>
        <v>Charlie</v>
      </c>
    </row>
    <row r="20" spans="1:15" x14ac:dyDescent="0.3">
      <c r="A20">
        <v>422128</v>
      </c>
      <c r="F20">
        <v>22</v>
      </c>
      <c r="H20">
        <v>30</v>
      </c>
      <c r="N20" s="8">
        <f t="shared" si="0"/>
        <v>52</v>
      </c>
      <c r="O20" t="str">
        <f>INDEX('Line productivity'!$D$2:$D$39, MATCH(A20,'Line productivity'!$C$2:$C$39,0))</f>
        <v>Charlie</v>
      </c>
    </row>
    <row r="21" spans="1:15" x14ac:dyDescent="0.3">
      <c r="A21">
        <v>422129</v>
      </c>
      <c r="M21">
        <v>15</v>
      </c>
      <c r="N21" s="8">
        <f t="shared" si="0"/>
        <v>15</v>
      </c>
      <c r="O21" t="str">
        <f>INDEX('Line productivity'!$D$2:$D$39, MATCH(A21,'Line productivity'!$C$2:$C$39,0))</f>
        <v>Charlie</v>
      </c>
    </row>
    <row r="22" spans="1:15" x14ac:dyDescent="0.3">
      <c r="A22">
        <v>422130</v>
      </c>
      <c r="C22">
        <v>20</v>
      </c>
      <c r="N22" s="8">
        <f t="shared" si="0"/>
        <v>20</v>
      </c>
      <c r="O22" t="str">
        <f>INDEX('Line productivity'!$D$2:$D$39, MATCH(A22,'Line productivity'!$C$2:$C$39,0))</f>
        <v>Dee</v>
      </c>
    </row>
    <row r="23" spans="1:15" x14ac:dyDescent="0.3">
      <c r="A23">
        <v>422131</v>
      </c>
      <c r="E23">
        <v>20</v>
      </c>
      <c r="K23">
        <v>10</v>
      </c>
      <c r="N23" s="8">
        <f t="shared" si="0"/>
        <v>30</v>
      </c>
      <c r="O23" t="str">
        <f>INDEX('Line productivity'!$D$2:$D$39, MATCH(A23,'Line productivity'!$C$2:$C$39,0))</f>
        <v>Dee</v>
      </c>
    </row>
    <row r="24" spans="1:15" x14ac:dyDescent="0.3">
      <c r="A24">
        <v>422132</v>
      </c>
      <c r="N24" s="8">
        <f t="shared" si="0"/>
        <v>0</v>
      </c>
      <c r="O24" t="str">
        <f>INDEX('Line productivity'!$D$2:$D$39, MATCH(A24,'Line productivity'!$C$2:$C$39,0))</f>
        <v>Dee</v>
      </c>
    </row>
    <row r="25" spans="1:15" x14ac:dyDescent="0.3">
      <c r="A25">
        <v>422133</v>
      </c>
      <c r="H25">
        <v>20</v>
      </c>
      <c r="N25" s="8">
        <f t="shared" si="0"/>
        <v>20</v>
      </c>
      <c r="O25" t="str">
        <f>INDEX('Line productivity'!$D$2:$D$39, MATCH(A25,'Line productivity'!$C$2:$C$39,0))</f>
        <v>Dee</v>
      </c>
    </row>
    <row r="26" spans="1:15" x14ac:dyDescent="0.3">
      <c r="A26">
        <v>422134</v>
      </c>
      <c r="H26">
        <v>30</v>
      </c>
      <c r="I26">
        <v>20</v>
      </c>
      <c r="N26" s="8">
        <f t="shared" si="0"/>
        <v>50</v>
      </c>
      <c r="O26" t="str">
        <f>INDEX('Line productivity'!$D$2:$D$39, MATCH(A26,'Line productivity'!$C$2:$C$39,0))</f>
        <v>Mac</v>
      </c>
    </row>
    <row r="27" spans="1:15" x14ac:dyDescent="0.3">
      <c r="A27">
        <v>422135</v>
      </c>
      <c r="E27">
        <v>30</v>
      </c>
      <c r="M27">
        <v>15</v>
      </c>
      <c r="N27" s="8">
        <f t="shared" si="0"/>
        <v>45</v>
      </c>
      <c r="O27" t="str">
        <f>INDEX('Line productivity'!$D$2:$D$39, MATCH(A27,'Line productivity'!$C$2:$C$39,0))</f>
        <v>Mac</v>
      </c>
    </row>
    <row r="28" spans="1:15" x14ac:dyDescent="0.3">
      <c r="A28">
        <v>422136</v>
      </c>
      <c r="N28" s="8">
        <f t="shared" si="0"/>
        <v>0</v>
      </c>
      <c r="O28" t="str">
        <f>INDEX('Line productivity'!$D$2:$D$39, MATCH(A28,'Line productivity'!$C$2:$C$39,0))</f>
        <v>Mac</v>
      </c>
    </row>
    <row r="29" spans="1:15" x14ac:dyDescent="0.3">
      <c r="A29">
        <v>422137</v>
      </c>
      <c r="I29">
        <v>30</v>
      </c>
      <c r="K29">
        <v>15</v>
      </c>
      <c r="N29" s="8">
        <f t="shared" si="0"/>
        <v>45</v>
      </c>
      <c r="O29" t="str">
        <f>INDEX('Line productivity'!$D$2:$D$39, MATCH(A29,'Line productivity'!$C$2:$C$39,0))</f>
        <v>Dee</v>
      </c>
    </row>
    <row r="30" spans="1:15" x14ac:dyDescent="0.3">
      <c r="A30">
        <v>422138</v>
      </c>
      <c r="D30">
        <v>20</v>
      </c>
      <c r="N30" s="8">
        <f t="shared" si="0"/>
        <v>20</v>
      </c>
      <c r="O30" t="str">
        <f>INDEX('Line productivity'!$D$2:$D$39, MATCH(A30,'Line productivity'!$C$2:$C$39,0))</f>
        <v>Dee</v>
      </c>
    </row>
    <row r="31" spans="1:15" x14ac:dyDescent="0.3">
      <c r="A31">
        <v>422139</v>
      </c>
      <c r="E31">
        <v>20</v>
      </c>
      <c r="G31">
        <v>15</v>
      </c>
      <c r="N31" s="8">
        <f t="shared" si="0"/>
        <v>35</v>
      </c>
      <c r="O31" t="str">
        <f>INDEX('Line productivity'!$D$2:$D$39, MATCH(A31,'Line productivity'!$C$2:$C$39,0))</f>
        <v>Dee</v>
      </c>
    </row>
    <row r="32" spans="1:15" x14ac:dyDescent="0.3">
      <c r="A32">
        <v>422140</v>
      </c>
      <c r="G32">
        <v>50</v>
      </c>
      <c r="L32">
        <v>13</v>
      </c>
      <c r="N32" s="8">
        <f t="shared" si="0"/>
        <v>63</v>
      </c>
      <c r="O32" t="str">
        <f>INDEX('Line productivity'!$D$2:$D$39, MATCH(A32,'Line productivity'!$C$2:$C$39,0))</f>
        <v>Dee</v>
      </c>
    </row>
    <row r="33" spans="1:15" x14ac:dyDescent="0.3">
      <c r="A33">
        <v>422141</v>
      </c>
      <c r="M33">
        <v>7</v>
      </c>
      <c r="N33" s="8">
        <f t="shared" si="0"/>
        <v>7</v>
      </c>
      <c r="O33" t="str">
        <f>INDEX('Line productivity'!$D$2:$D$39, MATCH(A33,'Line productivity'!$C$2:$C$39,0))</f>
        <v>Dennis</v>
      </c>
    </row>
    <row r="34" spans="1:15" x14ac:dyDescent="0.3">
      <c r="A34">
        <v>422142</v>
      </c>
      <c r="G34">
        <v>30</v>
      </c>
      <c r="N34" s="8">
        <f t="shared" si="0"/>
        <v>30</v>
      </c>
      <c r="O34" t="str">
        <f>INDEX('Line productivity'!$D$2:$D$39, MATCH(A34,'Line productivity'!$C$2:$C$39,0))</f>
        <v>Dennis</v>
      </c>
    </row>
    <row r="35" spans="1:15" x14ac:dyDescent="0.3">
      <c r="A35">
        <v>422143</v>
      </c>
      <c r="G35">
        <v>40</v>
      </c>
      <c r="H35">
        <v>18</v>
      </c>
      <c r="N35" s="8">
        <f t="shared" si="0"/>
        <v>58</v>
      </c>
      <c r="O35" t="str">
        <f>INDEX('Line productivity'!$D$2:$D$39, MATCH(A35,'Line productivity'!$C$2:$C$39,0))</f>
        <v>Dennis</v>
      </c>
    </row>
    <row r="36" spans="1:15" x14ac:dyDescent="0.3">
      <c r="A36">
        <v>422144</v>
      </c>
      <c r="G36">
        <v>30</v>
      </c>
      <c r="I36">
        <v>24</v>
      </c>
      <c r="N36" s="8">
        <f t="shared" si="0"/>
        <v>54</v>
      </c>
      <c r="O36" t="str">
        <f>INDEX('Line productivity'!$D$2:$D$39, MATCH(A36,'Line productivity'!$C$2:$C$39,0))</f>
        <v>Dennis</v>
      </c>
    </row>
    <row r="37" spans="1:15" x14ac:dyDescent="0.3">
      <c r="A37">
        <v>422145</v>
      </c>
      <c r="D37">
        <v>22</v>
      </c>
      <c r="N37" s="8">
        <f t="shared" si="0"/>
        <v>22</v>
      </c>
      <c r="O37" t="str">
        <f>INDEX('Line productivity'!$D$2:$D$39, MATCH(A37,'Line productivity'!$C$2:$C$39,0))</f>
        <v>Charlie</v>
      </c>
    </row>
    <row r="38" spans="1:15" x14ac:dyDescent="0.3">
      <c r="A38">
        <v>422146</v>
      </c>
      <c r="G38">
        <v>30</v>
      </c>
      <c r="H38">
        <v>25</v>
      </c>
      <c r="M38">
        <v>7</v>
      </c>
      <c r="N38" s="8">
        <f t="shared" si="0"/>
        <v>62</v>
      </c>
      <c r="O38" t="str">
        <f>INDEX('Line productivity'!$D$2:$D$39, MATCH(A38,'Line productivity'!$C$2:$C$39,0))</f>
        <v>Charlie</v>
      </c>
    </row>
    <row r="39" spans="1:15" x14ac:dyDescent="0.3">
      <c r="A39">
        <v>422147</v>
      </c>
      <c r="E39">
        <v>17</v>
      </c>
      <c r="G39">
        <v>60</v>
      </c>
      <c r="H39">
        <v>30</v>
      </c>
      <c r="N39" s="8">
        <f t="shared" si="0"/>
        <v>107</v>
      </c>
      <c r="O39" t="str">
        <f>INDEX('Line productivity'!$D$2:$D$39, MATCH(A39,'Line productivity'!$C$2:$C$39,0))</f>
        <v>Charlie</v>
      </c>
    </row>
    <row r="40" spans="1:15" x14ac:dyDescent="0.3">
      <c r="A40">
        <v>422148</v>
      </c>
      <c r="E40">
        <v>25</v>
      </c>
      <c r="I40">
        <v>7</v>
      </c>
      <c r="N40" s="8">
        <f t="shared" si="0"/>
        <v>32</v>
      </c>
      <c r="O40" t="str">
        <f>INDEX('Line productivity'!$D$2:$D$39, MATCH(A40,'Line productivity'!$C$2:$C$39,0))</f>
        <v>Mac</v>
      </c>
    </row>
  </sheetData>
  <mergeCells count="1">
    <mergeCell ref="B1:M1"/>
  </mergeCells>
  <pageMargins left="0.7" right="0.7" top="0.75" bottom="0.75" header="0.3" footer="0.3"/>
  <ignoredErrors>
    <ignoredError sqref="N3:N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Line productivity</vt:lpstr>
      <vt:lpstr>Products</vt:lpstr>
      <vt:lpstr>Downtime factors</vt:lpstr>
      <vt:lpstr>Line downtime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Seema Kumari</cp:lastModifiedBy>
  <dcterms:created xsi:type="dcterms:W3CDTF">2024-08-19T19:52:48Z</dcterms:created>
  <dcterms:modified xsi:type="dcterms:W3CDTF">2026-10-02T19:33:35Z</dcterms:modified>
</cp:coreProperties>
</file>